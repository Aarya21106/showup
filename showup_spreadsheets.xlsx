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. Expenses" sheetId="2" state="visible" r:id="rId2"/>
    <sheet name="2. API &amp; Infra Costs" sheetId="3" state="visible" r:id="rId3"/>
    <sheet name="3. Users &amp; Customers" sheetId="4" state="visible" r:id="rId4"/>
    <sheet name="4. Revenue" sheetId="5" state="visible" r:id="rId5"/>
    <sheet name="5. Monthly Summary" sheetId="6" state="visible" r:id="rId6"/>
  </sheets>
  <definedNames>
    <definedName name="_xlnm._FilterDatabase" localSheetId="1" hidden="1">'1. Expenses'!$A$1:$J$61</definedName>
    <definedName name="_xlnm._FilterDatabase" localSheetId="2" hidden="1">'2. API &amp; Infra Costs'!$A$1:$I$61</definedName>
    <definedName name="_xlnm._FilterDatabase" localSheetId="3" hidden="1">'3. Users &amp; Customers'!$A$1:$J$61</definedName>
    <definedName name="_xlnm._FilterDatabase" localSheetId="4" hidden="1">'4. Revenue'!$A$1:$F$61</definedName>
    <definedName name="_xlnm._FilterDatabase" localSheetId="5" hidden="1">'5. Monthly Summary'!$A$1:$J$61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₹#,##0;(₹#,##0);&quot;-&quot;"/>
    <numFmt numFmtId="166" formatCode="mmm yyyy"/>
  </numFmts>
  <fonts count="7">
    <font>
      <name val="Calibri"/>
      <family val="2"/>
      <color theme="1"/>
      <sz val="11"/>
      <scheme val="minor"/>
    </font>
    <font>
      <b val="1"/>
      <color rgb="000B0F0D"/>
      <sz val="16"/>
    </font>
    <font>
      <i val="1"/>
      <color rgb="00555555"/>
      <sz val="10"/>
    </font>
    <font>
      <b val="1"/>
      <color rgb="000B0F0D"/>
      <sz val="12"/>
    </font>
    <font>
      <color rgb="00555555"/>
      <sz val="10"/>
    </font>
    <font>
      <b val="1"/>
      <color rgb="000B0F0D"/>
      <sz val="11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35E08A"/>
        <bgColor rgb="0035E08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5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ShowUp — Spreadsheets to Maintain</t>
        </is>
      </c>
    </row>
    <row r="2">
      <c r="A2" s="2" t="inlineStr">
        <is>
          <t>Five tabs, one Google Sheet — cleaner for two people to share. Each tab answers a different question you'll actually get asked.</t>
        </is>
      </c>
    </row>
    <row r="3"/>
    <row r="4" ht="18" customHeight="1">
      <c r="A4" s="3" t="inlineStr">
        <is>
          <t>1. Expenses</t>
        </is>
      </c>
    </row>
    <row r="5" ht="18" customHeight="1">
      <c r="A5" s="4" t="inlineStr">
        <is>
          <t>Answers: Where has our money gone, and who personally put in what.</t>
        </is>
      </c>
    </row>
    <row r="6" ht="18" customHeight="1">
      <c r="A6" s="4" t="inlineStr">
        <is>
          <t>Category = Fixed cost / Growth spend / Buffer.</t>
        </is>
      </c>
    </row>
    <row r="7" ht="18" customHeight="1"/>
    <row r="8" ht="18" customHeight="1">
      <c r="A8" s="3" t="inlineStr">
        <is>
          <t>2. API &amp; Infra Costs</t>
        </is>
      </c>
    </row>
    <row r="9" ht="18" customHeight="1">
      <c r="A9" s="4" t="inlineStr">
        <is>
          <t>Answers: How much are we actually spending to run this, and are we near any free-tier ceiling.</t>
        </is>
      </c>
    </row>
    <row r="10" ht="18" customHeight="1">
      <c r="A10" s="4" t="inlineStr">
        <is>
          <t>Check "Within Free Tier?" weekly, not just monthly — it's the column that warns you before an unexpected bill.</t>
        </is>
      </c>
    </row>
    <row r="11" ht="18" customHeight="1"/>
    <row r="12" ht="18" customHeight="1">
      <c r="A12" s="3" t="inlineStr">
        <is>
          <t>3. Users &amp; Customers</t>
        </is>
      </c>
    </row>
    <row r="13" ht="18" customHeight="1">
      <c r="A13" s="4" t="inlineStr">
        <is>
          <t>Answers: Who's using this, are they paying, are they active.</t>
        </is>
      </c>
    </row>
    <row r="14" ht="18" customHeight="1">
      <c r="A14" s="4" t="inlineStr">
        <is>
          <t>User ID is the main reference (e.g. U001), not the raw phone number. If you need phone numbers for ops, keep them in a separate column and use Data &gt; Protected sheets and ranges in Google Sheets to restrict who can see it — health/fitness data plus a phone number in one open sheet is exactly the kind of thing to keep tightly held.</t>
        </is>
      </c>
    </row>
    <row r="15" ht="18" customHeight="1"/>
    <row r="16" ht="18" customHeight="1">
      <c r="A16" s="3" t="inlineStr">
        <is>
          <t>4. Revenue</t>
        </is>
      </c>
    </row>
    <row r="17" ht="18" customHeight="1">
      <c r="A17" s="4" t="inlineStr">
        <is>
          <t>Answers: Money coming in — kept separate from expenses so the two never get muddled in one column.</t>
        </is>
      </c>
    </row>
    <row r="18" ht="18" customHeight="1">
      <c r="A18" s="4" t="inlineStr">
        <is>
          <t>Type = Deposit / Monthly Subscription / Refund Out / Credit Applied (the weekly credit mechanic, tracked here so you can see its real cost over time).</t>
        </is>
      </c>
    </row>
    <row r="19" ht="18" customHeight="1"/>
    <row r="20" ht="18" customHeight="1">
      <c r="A20" s="3" t="inlineStr">
        <is>
          <t>5. Monthly Summary</t>
        </is>
      </c>
    </row>
    <row r="21" ht="18" customHeight="1">
      <c r="A21" s="4" t="inlineStr">
        <is>
          <t>Answers: How's the business actually doing, one glance, no digging through the other four tabs.</t>
        </is>
      </c>
    </row>
    <row r="22" ht="18" customHeight="1">
      <c r="A22" s="4" t="inlineStr">
        <is>
          <t>Total Revenue, Total Expenses, and MRR pull automatically from the other tabs via formula once you enter a Month. Active Users (start / new / churned) are the only manual inputs here.</t>
        </is>
      </c>
    </row>
    <row r="23" ht="18" customHeight="1"/>
    <row r="24" ht="18" customHeight="1">
      <c r="A24" s="3" t="inlineStr">
        <is>
          <t>How to actually use these day-to-day</t>
        </is>
      </c>
    </row>
    <row r="25" ht="18" customHeight="1">
      <c r="A25" s="4" t="inlineStr">
        <is>
          <t>•  Log expenses/API costs as they happen, not in a weekly batch — you'll forget the small ones otherwise.</t>
        </is>
      </c>
    </row>
    <row r="26" ht="18" customHeight="1">
      <c r="A26" s="4" t="inlineStr">
        <is>
          <t>•  Update the Users tab whenever someone signs up or churns — this one drifts out of date fastest if left to "later."</t>
        </is>
      </c>
    </row>
    <row r="27" ht="18" customHeight="1">
      <c r="A27" s="4" t="inlineStr">
        <is>
          <t>•  Revenue updates itself naturally off your payment confirmations — once the Razorpay webhook is live, this could even be semi-automated instead of manual.</t>
        </is>
      </c>
    </row>
    <row r="28" ht="18" customHeight="1">
      <c r="A28" s="4" t="inlineStr">
        <is>
          <t>•  Only the Monthly Summary needs a fixed cadence — same day each month, no excuses, even if the numbers are small.</t>
        </is>
      </c>
    </row>
    <row r="29" ht="1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6" customWidth="1" min="4" max="4"/>
    <col width="12" customWidth="1" min="5" max="5"/>
    <col width="20" customWidth="1" min="6" max="6"/>
    <col width="20" customWidth="1" min="7" max="7"/>
    <col width="20" customWidth="1" min="8" max="8"/>
    <col width="20" customWidth="1" min="9" max="9"/>
    <col width="30" customWidth="1" min="10" max="10"/>
  </cols>
  <sheetData>
    <row r="1" ht="30" customHeight="1">
      <c r="A1" s="5" t="inlineStr">
        <is>
          <t>Date</t>
        </is>
      </c>
      <c r="B1" s="5" t="inlineStr">
        <is>
          <t>Description</t>
        </is>
      </c>
      <c r="C1" s="5" t="inlineStr">
        <is>
          <t>Category</t>
        </is>
      </c>
      <c r="D1" s="5" t="inlineStr">
        <is>
          <t>Amount Out (₹)</t>
        </is>
      </c>
      <c r="E1" s="5" t="inlineStr">
        <is>
          <t>Paid By</t>
        </is>
      </c>
      <c r="F1" s="5" t="inlineStr">
        <is>
          <t>Aarya's Contribution (₹)</t>
        </is>
      </c>
      <c r="G1" s="5" t="inlineStr">
        <is>
          <t>Tharun's Contribution (₹)</t>
        </is>
      </c>
      <c r="H1" s="5" t="inlineStr">
        <is>
          <t>Running Total - Aarya (₹)</t>
        </is>
      </c>
      <c r="I1" s="5" t="inlineStr">
        <is>
          <t>Running Total - Tharun (₹)</t>
        </is>
      </c>
      <c r="J1" s="5" t="inlineStr">
        <is>
          <t>Notes</t>
        </is>
      </c>
    </row>
    <row r="2">
      <c r="A2" s="6" t="n"/>
      <c r="B2" s="7" t="n"/>
      <c r="C2" s="7" t="n"/>
      <c r="D2" s="8" t="n"/>
      <c r="E2" s="7" t="n"/>
      <c r="F2" s="8" t="n"/>
      <c r="G2" s="8" t="n"/>
      <c r="H2" s="8">
        <f>SUM($F$2:F2)</f>
        <v/>
      </c>
      <c r="I2" s="8">
        <f>SUM($G$2:G2)</f>
        <v/>
      </c>
      <c r="J2" s="7" t="n"/>
    </row>
    <row r="3">
      <c r="A3" s="6" t="n"/>
      <c r="B3" s="7" t="n"/>
      <c r="C3" s="7" t="n"/>
      <c r="D3" s="8" t="n"/>
      <c r="E3" s="7" t="n"/>
      <c r="F3" s="8" t="n"/>
      <c r="G3" s="8" t="n"/>
      <c r="H3" s="8">
        <f>SUM($F$2:F3)</f>
        <v/>
      </c>
      <c r="I3" s="8">
        <f>SUM($G$2:G3)</f>
        <v/>
      </c>
      <c r="J3" s="7" t="n"/>
    </row>
    <row r="4">
      <c r="A4" s="6" t="n"/>
      <c r="B4" s="7" t="n"/>
      <c r="C4" s="7" t="n"/>
      <c r="D4" s="8" t="n"/>
      <c r="E4" s="7" t="n"/>
      <c r="F4" s="8" t="n"/>
      <c r="G4" s="8" t="n"/>
      <c r="H4" s="8">
        <f>SUM($F$2:F4)</f>
        <v/>
      </c>
      <c r="I4" s="8">
        <f>SUM($G$2:G4)</f>
        <v/>
      </c>
      <c r="J4" s="7" t="n"/>
    </row>
    <row r="5">
      <c r="A5" s="6" t="n"/>
      <c r="B5" s="7" t="n"/>
      <c r="C5" s="7" t="n"/>
      <c r="D5" s="8" t="n"/>
      <c r="E5" s="7" t="n"/>
      <c r="F5" s="8" t="n"/>
      <c r="G5" s="8" t="n"/>
      <c r="H5" s="8">
        <f>SUM($F$2:F5)</f>
        <v/>
      </c>
      <c r="I5" s="8">
        <f>SUM($G$2:G5)</f>
        <v/>
      </c>
      <c r="J5" s="7" t="n"/>
    </row>
    <row r="6">
      <c r="A6" s="6" t="n"/>
      <c r="B6" s="7" t="n"/>
      <c r="C6" s="7" t="n"/>
      <c r="D6" s="8" t="n"/>
      <c r="E6" s="7" t="n"/>
      <c r="F6" s="8" t="n"/>
      <c r="G6" s="8" t="n"/>
      <c r="H6" s="8">
        <f>SUM($F$2:F6)</f>
        <v/>
      </c>
      <c r="I6" s="8">
        <f>SUM($G$2:G6)</f>
        <v/>
      </c>
      <c r="J6" s="7" t="n"/>
    </row>
    <row r="7">
      <c r="A7" s="6" t="n"/>
      <c r="B7" s="7" t="n"/>
      <c r="C7" s="7" t="n"/>
      <c r="D7" s="8" t="n"/>
      <c r="E7" s="7" t="n"/>
      <c r="F7" s="8" t="n"/>
      <c r="G7" s="8" t="n"/>
      <c r="H7" s="8">
        <f>SUM($F$2:F7)</f>
        <v/>
      </c>
      <c r="I7" s="8">
        <f>SUM($G$2:G7)</f>
        <v/>
      </c>
      <c r="J7" s="7" t="n"/>
    </row>
    <row r="8">
      <c r="A8" s="6" t="n"/>
      <c r="B8" s="7" t="n"/>
      <c r="C8" s="7" t="n"/>
      <c r="D8" s="8" t="n"/>
      <c r="E8" s="7" t="n"/>
      <c r="F8" s="8" t="n"/>
      <c r="G8" s="8" t="n"/>
      <c r="H8" s="8">
        <f>SUM($F$2:F8)</f>
        <v/>
      </c>
      <c r="I8" s="8">
        <f>SUM($G$2:G8)</f>
        <v/>
      </c>
      <c r="J8" s="7" t="n"/>
    </row>
    <row r="9">
      <c r="A9" s="6" t="n"/>
      <c r="B9" s="7" t="n"/>
      <c r="C9" s="7" t="n"/>
      <c r="D9" s="8" t="n"/>
      <c r="E9" s="7" t="n"/>
      <c r="F9" s="8" t="n"/>
      <c r="G9" s="8" t="n"/>
      <c r="H9" s="8">
        <f>SUM($F$2:F9)</f>
        <v/>
      </c>
      <c r="I9" s="8">
        <f>SUM($G$2:G9)</f>
        <v/>
      </c>
      <c r="J9" s="7" t="n"/>
    </row>
    <row r="10">
      <c r="A10" s="6" t="n"/>
      <c r="B10" s="7" t="n"/>
      <c r="C10" s="7" t="n"/>
      <c r="D10" s="8" t="n"/>
      <c r="E10" s="7" t="n"/>
      <c r="F10" s="8" t="n"/>
      <c r="G10" s="8" t="n"/>
      <c r="H10" s="8">
        <f>SUM($F$2:F10)</f>
        <v/>
      </c>
      <c r="I10" s="8">
        <f>SUM($G$2:G10)</f>
        <v/>
      </c>
      <c r="J10" s="7" t="n"/>
    </row>
    <row r="11">
      <c r="A11" s="6" t="n"/>
      <c r="B11" s="7" t="n"/>
      <c r="C11" s="7" t="n"/>
      <c r="D11" s="8" t="n"/>
      <c r="E11" s="7" t="n"/>
      <c r="F11" s="8" t="n"/>
      <c r="G11" s="8" t="n"/>
      <c r="H11" s="8">
        <f>SUM($F$2:F11)</f>
        <v/>
      </c>
      <c r="I11" s="8">
        <f>SUM($G$2:G11)</f>
        <v/>
      </c>
      <c r="J11" s="7" t="n"/>
    </row>
    <row r="12">
      <c r="A12" s="6" t="n"/>
      <c r="B12" s="7" t="n"/>
      <c r="C12" s="7" t="n"/>
      <c r="D12" s="8" t="n"/>
      <c r="E12" s="7" t="n"/>
      <c r="F12" s="8" t="n"/>
      <c r="G12" s="8" t="n"/>
      <c r="H12" s="8">
        <f>SUM($F$2:F12)</f>
        <v/>
      </c>
      <c r="I12" s="8">
        <f>SUM($G$2:G12)</f>
        <v/>
      </c>
      <c r="J12" s="7" t="n"/>
    </row>
    <row r="13">
      <c r="A13" s="6" t="n"/>
      <c r="B13" s="7" t="n"/>
      <c r="C13" s="7" t="n"/>
      <c r="D13" s="8" t="n"/>
      <c r="E13" s="7" t="n"/>
      <c r="F13" s="8" t="n"/>
      <c r="G13" s="8" t="n"/>
      <c r="H13" s="8">
        <f>SUM($F$2:F13)</f>
        <v/>
      </c>
      <c r="I13" s="8">
        <f>SUM($G$2:G13)</f>
        <v/>
      </c>
      <c r="J13" s="7" t="n"/>
    </row>
    <row r="14">
      <c r="A14" s="6" t="n"/>
      <c r="B14" s="7" t="n"/>
      <c r="C14" s="7" t="n"/>
      <c r="D14" s="8" t="n"/>
      <c r="E14" s="7" t="n"/>
      <c r="F14" s="8" t="n"/>
      <c r="G14" s="8" t="n"/>
      <c r="H14" s="8">
        <f>SUM($F$2:F14)</f>
        <v/>
      </c>
      <c r="I14" s="8">
        <f>SUM($G$2:G14)</f>
        <v/>
      </c>
      <c r="J14" s="7" t="n"/>
    </row>
    <row r="15">
      <c r="A15" s="6" t="n"/>
      <c r="B15" s="7" t="n"/>
      <c r="C15" s="7" t="n"/>
      <c r="D15" s="8" t="n"/>
      <c r="E15" s="7" t="n"/>
      <c r="F15" s="8" t="n"/>
      <c r="G15" s="8" t="n"/>
      <c r="H15" s="8">
        <f>SUM($F$2:F15)</f>
        <v/>
      </c>
      <c r="I15" s="8">
        <f>SUM($G$2:G15)</f>
        <v/>
      </c>
      <c r="J15" s="7" t="n"/>
    </row>
    <row r="16">
      <c r="A16" s="6" t="n"/>
      <c r="B16" s="7" t="n"/>
      <c r="C16" s="7" t="n"/>
      <c r="D16" s="8" t="n"/>
      <c r="E16" s="7" t="n"/>
      <c r="F16" s="8" t="n"/>
      <c r="G16" s="8" t="n"/>
      <c r="H16" s="8">
        <f>SUM($F$2:F16)</f>
        <v/>
      </c>
      <c r="I16" s="8">
        <f>SUM($G$2:G16)</f>
        <v/>
      </c>
      <c r="J16" s="7" t="n"/>
    </row>
    <row r="17">
      <c r="A17" s="6" t="n"/>
      <c r="B17" s="7" t="n"/>
      <c r="C17" s="7" t="n"/>
      <c r="D17" s="8" t="n"/>
      <c r="E17" s="7" t="n"/>
      <c r="F17" s="8" t="n"/>
      <c r="G17" s="8" t="n"/>
      <c r="H17" s="8">
        <f>SUM($F$2:F17)</f>
        <v/>
      </c>
      <c r="I17" s="8">
        <f>SUM($G$2:G17)</f>
        <v/>
      </c>
      <c r="J17" s="7" t="n"/>
    </row>
    <row r="18">
      <c r="A18" s="6" t="n"/>
      <c r="B18" s="7" t="n"/>
      <c r="C18" s="7" t="n"/>
      <c r="D18" s="8" t="n"/>
      <c r="E18" s="7" t="n"/>
      <c r="F18" s="8" t="n"/>
      <c r="G18" s="8" t="n"/>
      <c r="H18" s="8">
        <f>SUM($F$2:F18)</f>
        <v/>
      </c>
      <c r="I18" s="8">
        <f>SUM($G$2:G18)</f>
        <v/>
      </c>
      <c r="J18" s="7" t="n"/>
    </row>
    <row r="19">
      <c r="A19" s="6" t="n"/>
      <c r="B19" s="7" t="n"/>
      <c r="C19" s="7" t="n"/>
      <c r="D19" s="8" t="n"/>
      <c r="E19" s="7" t="n"/>
      <c r="F19" s="8" t="n"/>
      <c r="G19" s="8" t="n"/>
      <c r="H19" s="8">
        <f>SUM($F$2:F19)</f>
        <v/>
      </c>
      <c r="I19" s="8">
        <f>SUM($G$2:G19)</f>
        <v/>
      </c>
      <c r="J19" s="7" t="n"/>
    </row>
    <row r="20">
      <c r="A20" s="6" t="n"/>
      <c r="B20" s="7" t="n"/>
      <c r="C20" s="7" t="n"/>
      <c r="D20" s="8" t="n"/>
      <c r="E20" s="7" t="n"/>
      <c r="F20" s="8" t="n"/>
      <c r="G20" s="8" t="n"/>
      <c r="H20" s="8">
        <f>SUM($F$2:F20)</f>
        <v/>
      </c>
      <c r="I20" s="8">
        <f>SUM($G$2:G20)</f>
        <v/>
      </c>
      <c r="J20" s="7" t="n"/>
    </row>
    <row r="21">
      <c r="A21" s="6" t="n"/>
      <c r="B21" s="7" t="n"/>
      <c r="C21" s="7" t="n"/>
      <c r="D21" s="8" t="n"/>
      <c r="E21" s="7" t="n"/>
      <c r="F21" s="8" t="n"/>
      <c r="G21" s="8" t="n"/>
      <c r="H21" s="8">
        <f>SUM($F$2:F21)</f>
        <v/>
      </c>
      <c r="I21" s="8">
        <f>SUM($G$2:G21)</f>
        <v/>
      </c>
      <c r="J21" s="7" t="n"/>
    </row>
    <row r="22">
      <c r="A22" s="6" t="n"/>
      <c r="B22" s="7" t="n"/>
      <c r="C22" s="7" t="n"/>
      <c r="D22" s="8" t="n"/>
      <c r="E22" s="7" t="n"/>
      <c r="F22" s="8" t="n"/>
      <c r="G22" s="8" t="n"/>
      <c r="H22" s="8">
        <f>SUM($F$2:F22)</f>
        <v/>
      </c>
      <c r="I22" s="8">
        <f>SUM($G$2:G22)</f>
        <v/>
      </c>
      <c r="J22" s="7" t="n"/>
    </row>
    <row r="23">
      <c r="A23" s="6" t="n"/>
      <c r="B23" s="7" t="n"/>
      <c r="C23" s="7" t="n"/>
      <c r="D23" s="8" t="n"/>
      <c r="E23" s="7" t="n"/>
      <c r="F23" s="8" t="n"/>
      <c r="G23" s="8" t="n"/>
      <c r="H23" s="8">
        <f>SUM($F$2:F23)</f>
        <v/>
      </c>
      <c r="I23" s="8">
        <f>SUM($G$2:G23)</f>
        <v/>
      </c>
      <c r="J23" s="7" t="n"/>
    </row>
    <row r="24">
      <c r="A24" s="6" t="n"/>
      <c r="B24" s="7" t="n"/>
      <c r="C24" s="7" t="n"/>
      <c r="D24" s="8" t="n"/>
      <c r="E24" s="7" t="n"/>
      <c r="F24" s="8" t="n"/>
      <c r="G24" s="8" t="n"/>
      <c r="H24" s="8">
        <f>SUM($F$2:F24)</f>
        <v/>
      </c>
      <c r="I24" s="8">
        <f>SUM($G$2:G24)</f>
        <v/>
      </c>
      <c r="J24" s="7" t="n"/>
    </row>
    <row r="25">
      <c r="A25" s="6" t="n"/>
      <c r="B25" s="7" t="n"/>
      <c r="C25" s="7" t="n"/>
      <c r="D25" s="8" t="n"/>
      <c r="E25" s="7" t="n"/>
      <c r="F25" s="8" t="n"/>
      <c r="G25" s="8" t="n"/>
      <c r="H25" s="8">
        <f>SUM($F$2:F25)</f>
        <v/>
      </c>
      <c r="I25" s="8">
        <f>SUM($G$2:G25)</f>
        <v/>
      </c>
      <c r="J25" s="7" t="n"/>
    </row>
    <row r="26">
      <c r="A26" s="6" t="n"/>
      <c r="B26" s="7" t="n"/>
      <c r="C26" s="7" t="n"/>
      <c r="D26" s="8" t="n"/>
      <c r="E26" s="7" t="n"/>
      <c r="F26" s="8" t="n"/>
      <c r="G26" s="8" t="n"/>
      <c r="H26" s="8">
        <f>SUM($F$2:F26)</f>
        <v/>
      </c>
      <c r="I26" s="8">
        <f>SUM($G$2:G26)</f>
        <v/>
      </c>
      <c r="J26" s="7" t="n"/>
    </row>
    <row r="27">
      <c r="A27" s="6" t="n"/>
      <c r="B27" s="7" t="n"/>
      <c r="C27" s="7" t="n"/>
      <c r="D27" s="8" t="n"/>
      <c r="E27" s="7" t="n"/>
      <c r="F27" s="8" t="n"/>
      <c r="G27" s="8" t="n"/>
      <c r="H27" s="8">
        <f>SUM($F$2:F27)</f>
        <v/>
      </c>
      <c r="I27" s="8">
        <f>SUM($G$2:G27)</f>
        <v/>
      </c>
      <c r="J27" s="7" t="n"/>
    </row>
    <row r="28">
      <c r="A28" s="6" t="n"/>
      <c r="B28" s="7" t="n"/>
      <c r="C28" s="7" t="n"/>
      <c r="D28" s="8" t="n"/>
      <c r="E28" s="7" t="n"/>
      <c r="F28" s="8" t="n"/>
      <c r="G28" s="8" t="n"/>
      <c r="H28" s="8">
        <f>SUM($F$2:F28)</f>
        <v/>
      </c>
      <c r="I28" s="8">
        <f>SUM($G$2:G28)</f>
        <v/>
      </c>
      <c r="J28" s="7" t="n"/>
    </row>
    <row r="29">
      <c r="A29" s="6" t="n"/>
      <c r="B29" s="7" t="n"/>
      <c r="C29" s="7" t="n"/>
      <c r="D29" s="8" t="n"/>
      <c r="E29" s="7" t="n"/>
      <c r="F29" s="8" t="n"/>
      <c r="G29" s="8" t="n"/>
      <c r="H29" s="8">
        <f>SUM($F$2:F29)</f>
        <v/>
      </c>
      <c r="I29" s="8">
        <f>SUM($G$2:G29)</f>
        <v/>
      </c>
      <c r="J29" s="7" t="n"/>
    </row>
    <row r="30">
      <c r="A30" s="6" t="n"/>
      <c r="B30" s="7" t="n"/>
      <c r="C30" s="7" t="n"/>
      <c r="D30" s="8" t="n"/>
      <c r="E30" s="7" t="n"/>
      <c r="F30" s="8" t="n"/>
      <c r="G30" s="8" t="n"/>
      <c r="H30" s="8">
        <f>SUM($F$2:F30)</f>
        <v/>
      </c>
      <c r="I30" s="8">
        <f>SUM($G$2:G30)</f>
        <v/>
      </c>
      <c r="J30" s="7" t="n"/>
    </row>
    <row r="31">
      <c r="A31" s="6" t="n"/>
      <c r="B31" s="7" t="n"/>
      <c r="C31" s="7" t="n"/>
      <c r="D31" s="8" t="n"/>
      <c r="E31" s="7" t="n"/>
      <c r="F31" s="8" t="n"/>
      <c r="G31" s="8" t="n"/>
      <c r="H31" s="8">
        <f>SUM($F$2:F31)</f>
        <v/>
      </c>
      <c r="I31" s="8">
        <f>SUM($G$2:G31)</f>
        <v/>
      </c>
      <c r="J31" s="7" t="n"/>
    </row>
    <row r="32">
      <c r="A32" s="6" t="n"/>
      <c r="B32" s="7" t="n"/>
      <c r="C32" s="7" t="n"/>
      <c r="D32" s="8" t="n"/>
      <c r="E32" s="7" t="n"/>
      <c r="F32" s="8" t="n"/>
      <c r="G32" s="8" t="n"/>
      <c r="H32" s="8">
        <f>SUM($F$2:F32)</f>
        <v/>
      </c>
      <c r="I32" s="8">
        <f>SUM($G$2:G32)</f>
        <v/>
      </c>
      <c r="J32" s="7" t="n"/>
    </row>
    <row r="33">
      <c r="A33" s="6" t="n"/>
      <c r="B33" s="7" t="n"/>
      <c r="C33" s="7" t="n"/>
      <c r="D33" s="8" t="n"/>
      <c r="E33" s="7" t="n"/>
      <c r="F33" s="8" t="n"/>
      <c r="G33" s="8" t="n"/>
      <c r="H33" s="8">
        <f>SUM($F$2:F33)</f>
        <v/>
      </c>
      <c r="I33" s="8">
        <f>SUM($G$2:G33)</f>
        <v/>
      </c>
      <c r="J33" s="7" t="n"/>
    </row>
    <row r="34">
      <c r="A34" s="6" t="n"/>
      <c r="B34" s="7" t="n"/>
      <c r="C34" s="7" t="n"/>
      <c r="D34" s="8" t="n"/>
      <c r="E34" s="7" t="n"/>
      <c r="F34" s="8" t="n"/>
      <c r="G34" s="8" t="n"/>
      <c r="H34" s="8">
        <f>SUM($F$2:F34)</f>
        <v/>
      </c>
      <c r="I34" s="8">
        <f>SUM($G$2:G34)</f>
        <v/>
      </c>
      <c r="J34" s="7" t="n"/>
    </row>
    <row r="35">
      <c r="A35" s="6" t="n"/>
      <c r="B35" s="7" t="n"/>
      <c r="C35" s="7" t="n"/>
      <c r="D35" s="8" t="n"/>
      <c r="E35" s="7" t="n"/>
      <c r="F35" s="8" t="n"/>
      <c r="G35" s="8" t="n"/>
      <c r="H35" s="8">
        <f>SUM($F$2:F35)</f>
        <v/>
      </c>
      <c r="I35" s="8">
        <f>SUM($G$2:G35)</f>
        <v/>
      </c>
      <c r="J35" s="7" t="n"/>
    </row>
    <row r="36">
      <c r="A36" s="6" t="n"/>
      <c r="B36" s="7" t="n"/>
      <c r="C36" s="7" t="n"/>
      <c r="D36" s="8" t="n"/>
      <c r="E36" s="7" t="n"/>
      <c r="F36" s="8" t="n"/>
      <c r="G36" s="8" t="n"/>
      <c r="H36" s="8">
        <f>SUM($F$2:F36)</f>
        <v/>
      </c>
      <c r="I36" s="8">
        <f>SUM($G$2:G36)</f>
        <v/>
      </c>
      <c r="J36" s="7" t="n"/>
    </row>
    <row r="37">
      <c r="A37" s="6" t="n"/>
      <c r="B37" s="7" t="n"/>
      <c r="C37" s="7" t="n"/>
      <c r="D37" s="8" t="n"/>
      <c r="E37" s="7" t="n"/>
      <c r="F37" s="8" t="n"/>
      <c r="G37" s="8" t="n"/>
      <c r="H37" s="8">
        <f>SUM($F$2:F37)</f>
        <v/>
      </c>
      <c r="I37" s="8">
        <f>SUM($G$2:G37)</f>
        <v/>
      </c>
      <c r="J37" s="7" t="n"/>
    </row>
    <row r="38">
      <c r="A38" s="6" t="n"/>
      <c r="B38" s="7" t="n"/>
      <c r="C38" s="7" t="n"/>
      <c r="D38" s="8" t="n"/>
      <c r="E38" s="7" t="n"/>
      <c r="F38" s="8" t="n"/>
      <c r="G38" s="8" t="n"/>
      <c r="H38" s="8">
        <f>SUM($F$2:F38)</f>
        <v/>
      </c>
      <c r="I38" s="8">
        <f>SUM($G$2:G38)</f>
        <v/>
      </c>
      <c r="J38" s="7" t="n"/>
    </row>
    <row r="39">
      <c r="A39" s="6" t="n"/>
      <c r="B39" s="7" t="n"/>
      <c r="C39" s="7" t="n"/>
      <c r="D39" s="8" t="n"/>
      <c r="E39" s="7" t="n"/>
      <c r="F39" s="8" t="n"/>
      <c r="G39" s="8" t="n"/>
      <c r="H39" s="8">
        <f>SUM($F$2:F39)</f>
        <v/>
      </c>
      <c r="I39" s="8">
        <f>SUM($G$2:G39)</f>
        <v/>
      </c>
      <c r="J39" s="7" t="n"/>
    </row>
    <row r="40">
      <c r="A40" s="6" t="n"/>
      <c r="B40" s="7" t="n"/>
      <c r="C40" s="7" t="n"/>
      <c r="D40" s="8" t="n"/>
      <c r="E40" s="7" t="n"/>
      <c r="F40" s="8" t="n"/>
      <c r="G40" s="8" t="n"/>
      <c r="H40" s="8">
        <f>SUM($F$2:F40)</f>
        <v/>
      </c>
      <c r="I40" s="8">
        <f>SUM($G$2:G40)</f>
        <v/>
      </c>
      <c r="J40" s="7" t="n"/>
    </row>
    <row r="41">
      <c r="A41" s="6" t="n"/>
      <c r="B41" s="7" t="n"/>
      <c r="C41" s="7" t="n"/>
      <c r="D41" s="8" t="n"/>
      <c r="E41" s="7" t="n"/>
      <c r="F41" s="8" t="n"/>
      <c r="G41" s="8" t="n"/>
      <c r="H41" s="8">
        <f>SUM($F$2:F41)</f>
        <v/>
      </c>
      <c r="I41" s="8">
        <f>SUM($G$2:G41)</f>
        <v/>
      </c>
      <c r="J41" s="7" t="n"/>
    </row>
    <row r="42">
      <c r="A42" s="6" t="n"/>
      <c r="B42" s="7" t="n"/>
      <c r="C42" s="7" t="n"/>
      <c r="D42" s="8" t="n"/>
      <c r="E42" s="7" t="n"/>
      <c r="F42" s="8" t="n"/>
      <c r="G42" s="8" t="n"/>
      <c r="H42" s="8">
        <f>SUM($F$2:F42)</f>
        <v/>
      </c>
      <c r="I42" s="8">
        <f>SUM($G$2:G42)</f>
        <v/>
      </c>
      <c r="J42" s="7" t="n"/>
    </row>
    <row r="43">
      <c r="A43" s="6" t="n"/>
      <c r="B43" s="7" t="n"/>
      <c r="C43" s="7" t="n"/>
      <c r="D43" s="8" t="n"/>
      <c r="E43" s="7" t="n"/>
      <c r="F43" s="8" t="n"/>
      <c r="G43" s="8" t="n"/>
      <c r="H43" s="8">
        <f>SUM($F$2:F43)</f>
        <v/>
      </c>
      <c r="I43" s="8">
        <f>SUM($G$2:G43)</f>
        <v/>
      </c>
      <c r="J43" s="7" t="n"/>
    </row>
    <row r="44">
      <c r="A44" s="6" t="n"/>
      <c r="B44" s="7" t="n"/>
      <c r="C44" s="7" t="n"/>
      <c r="D44" s="8" t="n"/>
      <c r="E44" s="7" t="n"/>
      <c r="F44" s="8" t="n"/>
      <c r="G44" s="8" t="n"/>
      <c r="H44" s="8">
        <f>SUM($F$2:F44)</f>
        <v/>
      </c>
      <c r="I44" s="8">
        <f>SUM($G$2:G44)</f>
        <v/>
      </c>
      <c r="J44" s="7" t="n"/>
    </row>
    <row r="45">
      <c r="A45" s="6" t="n"/>
      <c r="B45" s="7" t="n"/>
      <c r="C45" s="7" t="n"/>
      <c r="D45" s="8" t="n"/>
      <c r="E45" s="7" t="n"/>
      <c r="F45" s="8" t="n"/>
      <c r="G45" s="8" t="n"/>
      <c r="H45" s="8">
        <f>SUM($F$2:F45)</f>
        <v/>
      </c>
      <c r="I45" s="8">
        <f>SUM($G$2:G45)</f>
        <v/>
      </c>
      <c r="J45" s="7" t="n"/>
    </row>
    <row r="46">
      <c r="A46" s="6" t="n"/>
      <c r="B46" s="7" t="n"/>
      <c r="C46" s="7" t="n"/>
      <c r="D46" s="8" t="n"/>
      <c r="E46" s="7" t="n"/>
      <c r="F46" s="8" t="n"/>
      <c r="G46" s="8" t="n"/>
      <c r="H46" s="8">
        <f>SUM($F$2:F46)</f>
        <v/>
      </c>
      <c r="I46" s="8">
        <f>SUM($G$2:G46)</f>
        <v/>
      </c>
      <c r="J46" s="7" t="n"/>
    </row>
    <row r="47">
      <c r="A47" s="6" t="n"/>
      <c r="B47" s="7" t="n"/>
      <c r="C47" s="7" t="n"/>
      <c r="D47" s="8" t="n"/>
      <c r="E47" s="7" t="n"/>
      <c r="F47" s="8" t="n"/>
      <c r="G47" s="8" t="n"/>
      <c r="H47" s="8">
        <f>SUM($F$2:F47)</f>
        <v/>
      </c>
      <c r="I47" s="8">
        <f>SUM($G$2:G47)</f>
        <v/>
      </c>
      <c r="J47" s="7" t="n"/>
    </row>
    <row r="48">
      <c r="A48" s="6" t="n"/>
      <c r="B48" s="7" t="n"/>
      <c r="C48" s="7" t="n"/>
      <c r="D48" s="8" t="n"/>
      <c r="E48" s="7" t="n"/>
      <c r="F48" s="8" t="n"/>
      <c r="G48" s="8" t="n"/>
      <c r="H48" s="8">
        <f>SUM($F$2:F48)</f>
        <v/>
      </c>
      <c r="I48" s="8">
        <f>SUM($G$2:G48)</f>
        <v/>
      </c>
      <c r="J48" s="7" t="n"/>
    </row>
    <row r="49">
      <c r="A49" s="6" t="n"/>
      <c r="B49" s="7" t="n"/>
      <c r="C49" s="7" t="n"/>
      <c r="D49" s="8" t="n"/>
      <c r="E49" s="7" t="n"/>
      <c r="F49" s="8" t="n"/>
      <c r="G49" s="8" t="n"/>
      <c r="H49" s="8">
        <f>SUM($F$2:F49)</f>
        <v/>
      </c>
      <c r="I49" s="8">
        <f>SUM($G$2:G49)</f>
        <v/>
      </c>
      <c r="J49" s="7" t="n"/>
    </row>
    <row r="50">
      <c r="A50" s="6" t="n"/>
      <c r="B50" s="7" t="n"/>
      <c r="C50" s="7" t="n"/>
      <c r="D50" s="8" t="n"/>
      <c r="E50" s="7" t="n"/>
      <c r="F50" s="8" t="n"/>
      <c r="G50" s="8" t="n"/>
      <c r="H50" s="8">
        <f>SUM($F$2:F50)</f>
        <v/>
      </c>
      <c r="I50" s="8">
        <f>SUM($G$2:G50)</f>
        <v/>
      </c>
      <c r="J50" s="7" t="n"/>
    </row>
    <row r="51">
      <c r="A51" s="6" t="n"/>
      <c r="B51" s="7" t="n"/>
      <c r="C51" s="7" t="n"/>
      <c r="D51" s="8" t="n"/>
      <c r="E51" s="7" t="n"/>
      <c r="F51" s="8" t="n"/>
      <c r="G51" s="8" t="n"/>
      <c r="H51" s="8">
        <f>SUM($F$2:F51)</f>
        <v/>
      </c>
      <c r="I51" s="8">
        <f>SUM($G$2:G51)</f>
        <v/>
      </c>
      <c r="J51" s="7" t="n"/>
    </row>
    <row r="52">
      <c r="A52" s="6" t="n"/>
      <c r="B52" s="7" t="n"/>
      <c r="C52" s="7" t="n"/>
      <c r="D52" s="8" t="n"/>
      <c r="E52" s="7" t="n"/>
      <c r="F52" s="8" t="n"/>
      <c r="G52" s="8" t="n"/>
      <c r="H52" s="8">
        <f>SUM($F$2:F52)</f>
        <v/>
      </c>
      <c r="I52" s="8">
        <f>SUM($G$2:G52)</f>
        <v/>
      </c>
      <c r="J52" s="7" t="n"/>
    </row>
    <row r="53">
      <c r="A53" s="6" t="n"/>
      <c r="B53" s="7" t="n"/>
      <c r="C53" s="7" t="n"/>
      <c r="D53" s="8" t="n"/>
      <c r="E53" s="7" t="n"/>
      <c r="F53" s="8" t="n"/>
      <c r="G53" s="8" t="n"/>
      <c r="H53" s="8">
        <f>SUM($F$2:F53)</f>
        <v/>
      </c>
      <c r="I53" s="8">
        <f>SUM($G$2:G53)</f>
        <v/>
      </c>
      <c r="J53" s="7" t="n"/>
    </row>
    <row r="54">
      <c r="A54" s="6" t="n"/>
      <c r="B54" s="7" t="n"/>
      <c r="C54" s="7" t="n"/>
      <c r="D54" s="8" t="n"/>
      <c r="E54" s="7" t="n"/>
      <c r="F54" s="8" t="n"/>
      <c r="G54" s="8" t="n"/>
      <c r="H54" s="8">
        <f>SUM($F$2:F54)</f>
        <v/>
      </c>
      <c r="I54" s="8">
        <f>SUM($G$2:G54)</f>
        <v/>
      </c>
      <c r="J54" s="7" t="n"/>
    </row>
    <row r="55">
      <c r="A55" s="6" t="n"/>
      <c r="B55" s="7" t="n"/>
      <c r="C55" s="7" t="n"/>
      <c r="D55" s="8" t="n"/>
      <c r="E55" s="7" t="n"/>
      <c r="F55" s="8" t="n"/>
      <c r="G55" s="8" t="n"/>
      <c r="H55" s="8">
        <f>SUM($F$2:F55)</f>
        <v/>
      </c>
      <c r="I55" s="8">
        <f>SUM($G$2:G55)</f>
        <v/>
      </c>
      <c r="J55" s="7" t="n"/>
    </row>
    <row r="56">
      <c r="A56" s="6" t="n"/>
      <c r="B56" s="7" t="n"/>
      <c r="C56" s="7" t="n"/>
      <c r="D56" s="8" t="n"/>
      <c r="E56" s="7" t="n"/>
      <c r="F56" s="8" t="n"/>
      <c r="G56" s="8" t="n"/>
      <c r="H56" s="8">
        <f>SUM($F$2:F56)</f>
        <v/>
      </c>
      <c r="I56" s="8">
        <f>SUM($G$2:G56)</f>
        <v/>
      </c>
      <c r="J56" s="7" t="n"/>
    </row>
    <row r="57">
      <c r="A57" s="6" t="n"/>
      <c r="B57" s="7" t="n"/>
      <c r="C57" s="7" t="n"/>
      <c r="D57" s="8" t="n"/>
      <c r="E57" s="7" t="n"/>
      <c r="F57" s="8" t="n"/>
      <c r="G57" s="8" t="n"/>
      <c r="H57" s="8">
        <f>SUM($F$2:F57)</f>
        <v/>
      </c>
      <c r="I57" s="8">
        <f>SUM($G$2:G57)</f>
        <v/>
      </c>
      <c r="J57" s="7" t="n"/>
    </row>
    <row r="58">
      <c r="A58" s="6" t="n"/>
      <c r="B58" s="7" t="n"/>
      <c r="C58" s="7" t="n"/>
      <c r="D58" s="8" t="n"/>
      <c r="E58" s="7" t="n"/>
      <c r="F58" s="8" t="n"/>
      <c r="G58" s="8" t="n"/>
      <c r="H58" s="8">
        <f>SUM($F$2:F58)</f>
        <v/>
      </c>
      <c r="I58" s="8">
        <f>SUM($G$2:G58)</f>
        <v/>
      </c>
      <c r="J58" s="7" t="n"/>
    </row>
    <row r="59">
      <c r="A59" s="6" t="n"/>
      <c r="B59" s="7" t="n"/>
      <c r="C59" s="7" t="n"/>
      <c r="D59" s="8" t="n"/>
      <c r="E59" s="7" t="n"/>
      <c r="F59" s="8" t="n"/>
      <c r="G59" s="8" t="n"/>
      <c r="H59" s="8">
        <f>SUM($F$2:F59)</f>
        <v/>
      </c>
      <c r="I59" s="8">
        <f>SUM($G$2:G59)</f>
        <v/>
      </c>
      <c r="J59" s="7" t="n"/>
    </row>
    <row r="60">
      <c r="A60" s="6" t="n"/>
      <c r="B60" s="7" t="n"/>
      <c r="C60" s="7" t="n"/>
      <c r="D60" s="8" t="n"/>
      <c r="E60" s="7" t="n"/>
      <c r="F60" s="8" t="n"/>
      <c r="G60" s="8" t="n"/>
      <c r="H60" s="8">
        <f>SUM($F$2:F60)</f>
        <v/>
      </c>
      <c r="I60" s="8">
        <f>SUM($G$2:G60)</f>
        <v/>
      </c>
      <c r="J60" s="7" t="n"/>
    </row>
    <row r="61">
      <c r="A61" s="6" t="n"/>
      <c r="B61" s="7" t="n"/>
      <c r="C61" s="7" t="n"/>
      <c r="D61" s="8" t="n"/>
      <c r="E61" s="7" t="n"/>
      <c r="F61" s="8" t="n"/>
      <c r="G61" s="8" t="n"/>
      <c r="H61" s="8">
        <f>SUM($F$2:F61)</f>
        <v/>
      </c>
      <c r="I61" s="8">
        <f>SUM($G$2:G61)</f>
        <v/>
      </c>
      <c r="J61" s="7" t="n"/>
    </row>
  </sheetData>
  <autoFilter ref="A1:J61"/>
  <dataValidations count="2">
    <dataValidation sqref="C2:C61" showDropDown="0" showInputMessage="0" showErrorMessage="0" allowBlank="1" type="list">
      <formula1>"Fixed cost,Growth spend,Buffer"</formula1>
    </dataValidation>
    <dataValidation sqref="E2:E61" showDropDown="0" showInputMessage="0" showErrorMessage="0" allowBlank="1" type="list">
      <formula1>"Aarya,Tharun,Shared"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12" customWidth="1" min="4" max="4"/>
    <col width="14" customWidth="1" min="5" max="5"/>
    <col width="14" customWidth="1" min="6" max="6"/>
    <col width="14" customWidth="1" min="7" max="7"/>
    <col width="22" customWidth="1" min="8" max="8"/>
    <col width="30" customWidth="1" min="9" max="9"/>
  </cols>
  <sheetData>
    <row r="1" ht="30" customHeight="1">
      <c r="A1" s="5" t="inlineStr">
        <is>
          <t>Date</t>
        </is>
      </c>
      <c r="B1" s="5" t="inlineStr">
        <is>
          <t>Provider</t>
        </is>
      </c>
      <c r="C1" s="5" t="inlineStr">
        <is>
          <t>Usage Type</t>
        </is>
      </c>
      <c r="D1" s="5" t="inlineStr">
        <is>
          <t>Quantity</t>
        </is>
      </c>
      <c r="E1" s="5" t="inlineStr">
        <is>
          <t>Unit Cost (₹)</t>
        </is>
      </c>
      <c r="F1" s="5" t="inlineStr">
        <is>
          <t>Total Cost (₹)</t>
        </is>
      </c>
      <c r="G1" s="5" t="inlineStr">
        <is>
          <t>Within Free Tier?</t>
        </is>
      </c>
      <c r="H1" s="5" t="inlineStr">
        <is>
          <t>Cumulative Monthly Cost (₹)</t>
        </is>
      </c>
      <c r="I1" s="5" t="inlineStr">
        <is>
          <t>Notes</t>
        </is>
      </c>
    </row>
    <row r="2">
      <c r="A2" s="6" t="n"/>
      <c r="B2" s="7" t="n"/>
      <c r="C2" s="7" t="n"/>
      <c r="D2" s="7" t="n"/>
      <c r="E2" s="8" t="n"/>
      <c r="F2" s="8">
        <f>IF(OR(D2="",E2=""),"",D2*E2)</f>
        <v/>
      </c>
      <c r="G2" s="7" t="n"/>
      <c r="H2" s="8">
        <f>IF(A2="","",SUMIFS($F$2:F2,$A$2:A2,"&gt;="&amp;EOMONTH(A2,-1)+1))</f>
        <v/>
      </c>
      <c r="I2" s="7" t="n"/>
    </row>
    <row r="3">
      <c r="A3" s="6" t="n"/>
      <c r="B3" s="7" t="n"/>
      <c r="C3" s="7" t="n"/>
      <c r="D3" s="7" t="n"/>
      <c r="E3" s="8" t="n"/>
      <c r="F3" s="8">
        <f>IF(OR(D3="",E3=""),"",D3*E3)</f>
        <v/>
      </c>
      <c r="G3" s="7" t="n"/>
      <c r="H3" s="8">
        <f>IF(A3="","",SUMIFS($F$2:F3,$A$2:A3,"&gt;="&amp;EOMONTH(A3,-1)+1))</f>
        <v/>
      </c>
      <c r="I3" s="7" t="n"/>
    </row>
    <row r="4">
      <c r="A4" s="6" t="n"/>
      <c r="B4" s="7" t="n"/>
      <c r="C4" s="7" t="n"/>
      <c r="D4" s="7" t="n"/>
      <c r="E4" s="8" t="n"/>
      <c r="F4" s="8">
        <f>IF(OR(D4="",E4=""),"",D4*E4)</f>
        <v/>
      </c>
      <c r="G4" s="7" t="n"/>
      <c r="H4" s="8">
        <f>IF(A4="","",SUMIFS($F$2:F4,$A$2:A4,"&gt;="&amp;EOMONTH(A4,-1)+1))</f>
        <v/>
      </c>
      <c r="I4" s="7" t="n"/>
    </row>
    <row r="5">
      <c r="A5" s="6" t="n"/>
      <c r="B5" s="7" t="n"/>
      <c r="C5" s="7" t="n"/>
      <c r="D5" s="7" t="n"/>
      <c r="E5" s="8" t="n"/>
      <c r="F5" s="8">
        <f>IF(OR(D5="",E5=""),"",D5*E5)</f>
        <v/>
      </c>
      <c r="G5" s="7" t="n"/>
      <c r="H5" s="8">
        <f>IF(A5="","",SUMIFS($F$2:F5,$A$2:A5,"&gt;="&amp;EOMONTH(A5,-1)+1))</f>
        <v/>
      </c>
      <c r="I5" s="7" t="n"/>
    </row>
    <row r="6">
      <c r="A6" s="6" t="n"/>
      <c r="B6" s="7" t="n"/>
      <c r="C6" s="7" t="n"/>
      <c r="D6" s="7" t="n"/>
      <c r="E6" s="8" t="n"/>
      <c r="F6" s="8">
        <f>IF(OR(D6="",E6=""),"",D6*E6)</f>
        <v/>
      </c>
      <c r="G6" s="7" t="n"/>
      <c r="H6" s="8">
        <f>IF(A6="","",SUMIFS($F$2:F6,$A$2:A6,"&gt;="&amp;EOMONTH(A6,-1)+1))</f>
        <v/>
      </c>
      <c r="I6" s="7" t="n"/>
    </row>
    <row r="7">
      <c r="A7" s="6" t="n"/>
      <c r="B7" s="7" t="n"/>
      <c r="C7" s="7" t="n"/>
      <c r="D7" s="7" t="n"/>
      <c r="E7" s="8" t="n"/>
      <c r="F7" s="8">
        <f>IF(OR(D7="",E7=""),"",D7*E7)</f>
        <v/>
      </c>
      <c r="G7" s="7" t="n"/>
      <c r="H7" s="8">
        <f>IF(A7="","",SUMIFS($F$2:F7,$A$2:A7,"&gt;="&amp;EOMONTH(A7,-1)+1))</f>
        <v/>
      </c>
      <c r="I7" s="7" t="n"/>
    </row>
    <row r="8">
      <c r="A8" s="6" t="n"/>
      <c r="B8" s="7" t="n"/>
      <c r="C8" s="7" t="n"/>
      <c r="D8" s="7" t="n"/>
      <c r="E8" s="8" t="n"/>
      <c r="F8" s="8">
        <f>IF(OR(D8="",E8=""),"",D8*E8)</f>
        <v/>
      </c>
      <c r="G8" s="7" t="n"/>
      <c r="H8" s="8">
        <f>IF(A8="","",SUMIFS($F$2:F8,$A$2:A8,"&gt;="&amp;EOMONTH(A8,-1)+1))</f>
        <v/>
      </c>
      <c r="I8" s="7" t="n"/>
    </row>
    <row r="9">
      <c r="A9" s="6" t="n"/>
      <c r="B9" s="7" t="n"/>
      <c r="C9" s="7" t="n"/>
      <c r="D9" s="7" t="n"/>
      <c r="E9" s="8" t="n"/>
      <c r="F9" s="8">
        <f>IF(OR(D9="",E9=""),"",D9*E9)</f>
        <v/>
      </c>
      <c r="G9" s="7" t="n"/>
      <c r="H9" s="8">
        <f>IF(A9="","",SUMIFS($F$2:F9,$A$2:A9,"&gt;="&amp;EOMONTH(A9,-1)+1))</f>
        <v/>
      </c>
      <c r="I9" s="7" t="n"/>
    </row>
    <row r="10">
      <c r="A10" s="6" t="n"/>
      <c r="B10" s="7" t="n"/>
      <c r="C10" s="7" t="n"/>
      <c r="D10" s="7" t="n"/>
      <c r="E10" s="8" t="n"/>
      <c r="F10" s="8">
        <f>IF(OR(D10="",E10=""),"",D10*E10)</f>
        <v/>
      </c>
      <c r="G10" s="7" t="n"/>
      <c r="H10" s="8">
        <f>IF(A10="","",SUMIFS($F$2:F10,$A$2:A10,"&gt;="&amp;EOMONTH(A10,-1)+1))</f>
        <v/>
      </c>
      <c r="I10" s="7" t="n"/>
    </row>
    <row r="11">
      <c r="A11" s="6" t="n"/>
      <c r="B11" s="7" t="n"/>
      <c r="C11" s="7" t="n"/>
      <c r="D11" s="7" t="n"/>
      <c r="E11" s="8" t="n"/>
      <c r="F11" s="8">
        <f>IF(OR(D11="",E11=""),"",D11*E11)</f>
        <v/>
      </c>
      <c r="G11" s="7" t="n"/>
      <c r="H11" s="8">
        <f>IF(A11="","",SUMIFS($F$2:F11,$A$2:A11,"&gt;="&amp;EOMONTH(A11,-1)+1))</f>
        <v/>
      </c>
      <c r="I11" s="7" t="n"/>
    </row>
    <row r="12">
      <c r="A12" s="6" t="n"/>
      <c r="B12" s="7" t="n"/>
      <c r="C12" s="7" t="n"/>
      <c r="D12" s="7" t="n"/>
      <c r="E12" s="8" t="n"/>
      <c r="F12" s="8">
        <f>IF(OR(D12="",E12=""),"",D12*E12)</f>
        <v/>
      </c>
      <c r="G12" s="7" t="n"/>
      <c r="H12" s="8">
        <f>IF(A12="","",SUMIFS($F$2:F12,$A$2:A12,"&gt;="&amp;EOMONTH(A12,-1)+1))</f>
        <v/>
      </c>
      <c r="I12" s="7" t="n"/>
    </row>
    <row r="13">
      <c r="A13" s="6" t="n"/>
      <c r="B13" s="7" t="n"/>
      <c r="C13" s="7" t="n"/>
      <c r="D13" s="7" t="n"/>
      <c r="E13" s="8" t="n"/>
      <c r="F13" s="8">
        <f>IF(OR(D13="",E13=""),"",D13*E13)</f>
        <v/>
      </c>
      <c r="G13" s="7" t="n"/>
      <c r="H13" s="8">
        <f>IF(A13="","",SUMIFS($F$2:F13,$A$2:A13,"&gt;="&amp;EOMONTH(A13,-1)+1))</f>
        <v/>
      </c>
      <c r="I13" s="7" t="n"/>
    </row>
    <row r="14">
      <c r="A14" s="6" t="n"/>
      <c r="B14" s="7" t="n"/>
      <c r="C14" s="7" t="n"/>
      <c r="D14" s="7" t="n"/>
      <c r="E14" s="8" t="n"/>
      <c r="F14" s="8">
        <f>IF(OR(D14="",E14=""),"",D14*E14)</f>
        <v/>
      </c>
      <c r="G14" s="7" t="n"/>
      <c r="H14" s="8">
        <f>IF(A14="","",SUMIFS($F$2:F14,$A$2:A14,"&gt;="&amp;EOMONTH(A14,-1)+1))</f>
        <v/>
      </c>
      <c r="I14" s="7" t="n"/>
    </row>
    <row r="15">
      <c r="A15" s="6" t="n"/>
      <c r="B15" s="7" t="n"/>
      <c r="C15" s="7" t="n"/>
      <c r="D15" s="7" t="n"/>
      <c r="E15" s="8" t="n"/>
      <c r="F15" s="8">
        <f>IF(OR(D15="",E15=""),"",D15*E15)</f>
        <v/>
      </c>
      <c r="G15" s="7" t="n"/>
      <c r="H15" s="8">
        <f>IF(A15="","",SUMIFS($F$2:F15,$A$2:A15,"&gt;="&amp;EOMONTH(A15,-1)+1))</f>
        <v/>
      </c>
      <c r="I15" s="7" t="n"/>
    </row>
    <row r="16">
      <c r="A16" s="6" t="n"/>
      <c r="B16" s="7" t="n"/>
      <c r="C16" s="7" t="n"/>
      <c r="D16" s="7" t="n"/>
      <c r="E16" s="8" t="n"/>
      <c r="F16" s="8">
        <f>IF(OR(D16="",E16=""),"",D16*E16)</f>
        <v/>
      </c>
      <c r="G16" s="7" t="n"/>
      <c r="H16" s="8">
        <f>IF(A16="","",SUMIFS($F$2:F16,$A$2:A16,"&gt;="&amp;EOMONTH(A16,-1)+1))</f>
        <v/>
      </c>
      <c r="I16" s="7" t="n"/>
    </row>
    <row r="17">
      <c r="A17" s="6" t="n"/>
      <c r="B17" s="7" t="n"/>
      <c r="C17" s="7" t="n"/>
      <c r="D17" s="7" t="n"/>
      <c r="E17" s="8" t="n"/>
      <c r="F17" s="8">
        <f>IF(OR(D17="",E17=""),"",D17*E17)</f>
        <v/>
      </c>
      <c r="G17" s="7" t="n"/>
      <c r="H17" s="8">
        <f>IF(A17="","",SUMIFS($F$2:F17,$A$2:A17,"&gt;="&amp;EOMONTH(A17,-1)+1))</f>
        <v/>
      </c>
      <c r="I17" s="7" t="n"/>
    </row>
    <row r="18">
      <c r="A18" s="6" t="n"/>
      <c r="B18" s="7" t="n"/>
      <c r="C18" s="7" t="n"/>
      <c r="D18" s="7" t="n"/>
      <c r="E18" s="8" t="n"/>
      <c r="F18" s="8">
        <f>IF(OR(D18="",E18=""),"",D18*E18)</f>
        <v/>
      </c>
      <c r="G18" s="7" t="n"/>
      <c r="H18" s="8">
        <f>IF(A18="","",SUMIFS($F$2:F18,$A$2:A18,"&gt;="&amp;EOMONTH(A18,-1)+1))</f>
        <v/>
      </c>
      <c r="I18" s="7" t="n"/>
    </row>
    <row r="19">
      <c r="A19" s="6" t="n"/>
      <c r="B19" s="7" t="n"/>
      <c r="C19" s="7" t="n"/>
      <c r="D19" s="7" t="n"/>
      <c r="E19" s="8" t="n"/>
      <c r="F19" s="8">
        <f>IF(OR(D19="",E19=""),"",D19*E19)</f>
        <v/>
      </c>
      <c r="G19" s="7" t="n"/>
      <c r="H19" s="8">
        <f>IF(A19="","",SUMIFS($F$2:F19,$A$2:A19,"&gt;="&amp;EOMONTH(A19,-1)+1))</f>
        <v/>
      </c>
      <c r="I19" s="7" t="n"/>
    </row>
    <row r="20">
      <c r="A20" s="6" t="n"/>
      <c r="B20" s="7" t="n"/>
      <c r="C20" s="7" t="n"/>
      <c r="D20" s="7" t="n"/>
      <c r="E20" s="8" t="n"/>
      <c r="F20" s="8">
        <f>IF(OR(D20="",E20=""),"",D20*E20)</f>
        <v/>
      </c>
      <c r="G20" s="7" t="n"/>
      <c r="H20" s="8">
        <f>IF(A20="","",SUMIFS($F$2:F20,$A$2:A20,"&gt;="&amp;EOMONTH(A20,-1)+1))</f>
        <v/>
      </c>
      <c r="I20" s="7" t="n"/>
    </row>
    <row r="21">
      <c r="A21" s="6" t="n"/>
      <c r="B21" s="7" t="n"/>
      <c r="C21" s="7" t="n"/>
      <c r="D21" s="7" t="n"/>
      <c r="E21" s="8" t="n"/>
      <c r="F21" s="8">
        <f>IF(OR(D21="",E21=""),"",D21*E21)</f>
        <v/>
      </c>
      <c r="G21" s="7" t="n"/>
      <c r="H21" s="8">
        <f>IF(A21="","",SUMIFS($F$2:F21,$A$2:A21,"&gt;="&amp;EOMONTH(A21,-1)+1))</f>
        <v/>
      </c>
      <c r="I21" s="7" t="n"/>
    </row>
    <row r="22">
      <c r="A22" s="6" t="n"/>
      <c r="B22" s="7" t="n"/>
      <c r="C22" s="7" t="n"/>
      <c r="D22" s="7" t="n"/>
      <c r="E22" s="8" t="n"/>
      <c r="F22" s="8">
        <f>IF(OR(D22="",E22=""),"",D22*E22)</f>
        <v/>
      </c>
      <c r="G22" s="7" t="n"/>
      <c r="H22" s="8">
        <f>IF(A22="","",SUMIFS($F$2:F22,$A$2:A22,"&gt;="&amp;EOMONTH(A22,-1)+1))</f>
        <v/>
      </c>
      <c r="I22" s="7" t="n"/>
    </row>
    <row r="23">
      <c r="A23" s="6" t="n"/>
      <c r="B23" s="7" t="n"/>
      <c r="C23" s="7" t="n"/>
      <c r="D23" s="7" t="n"/>
      <c r="E23" s="8" t="n"/>
      <c r="F23" s="8">
        <f>IF(OR(D23="",E23=""),"",D23*E23)</f>
        <v/>
      </c>
      <c r="G23" s="7" t="n"/>
      <c r="H23" s="8">
        <f>IF(A23="","",SUMIFS($F$2:F23,$A$2:A23,"&gt;="&amp;EOMONTH(A23,-1)+1))</f>
        <v/>
      </c>
      <c r="I23" s="7" t="n"/>
    </row>
    <row r="24">
      <c r="A24" s="6" t="n"/>
      <c r="B24" s="7" t="n"/>
      <c r="C24" s="7" t="n"/>
      <c r="D24" s="7" t="n"/>
      <c r="E24" s="8" t="n"/>
      <c r="F24" s="8">
        <f>IF(OR(D24="",E24=""),"",D24*E24)</f>
        <v/>
      </c>
      <c r="G24" s="7" t="n"/>
      <c r="H24" s="8">
        <f>IF(A24="","",SUMIFS($F$2:F24,$A$2:A24,"&gt;="&amp;EOMONTH(A24,-1)+1))</f>
        <v/>
      </c>
      <c r="I24" s="7" t="n"/>
    </row>
    <row r="25">
      <c r="A25" s="6" t="n"/>
      <c r="B25" s="7" t="n"/>
      <c r="C25" s="7" t="n"/>
      <c r="D25" s="7" t="n"/>
      <c r="E25" s="8" t="n"/>
      <c r="F25" s="8">
        <f>IF(OR(D25="",E25=""),"",D25*E25)</f>
        <v/>
      </c>
      <c r="G25" s="7" t="n"/>
      <c r="H25" s="8">
        <f>IF(A25="","",SUMIFS($F$2:F25,$A$2:A25,"&gt;="&amp;EOMONTH(A25,-1)+1))</f>
        <v/>
      </c>
      <c r="I25" s="7" t="n"/>
    </row>
    <row r="26">
      <c r="A26" s="6" t="n"/>
      <c r="B26" s="7" t="n"/>
      <c r="C26" s="7" t="n"/>
      <c r="D26" s="7" t="n"/>
      <c r="E26" s="8" t="n"/>
      <c r="F26" s="8">
        <f>IF(OR(D26="",E26=""),"",D26*E26)</f>
        <v/>
      </c>
      <c r="G26" s="7" t="n"/>
      <c r="H26" s="8">
        <f>IF(A26="","",SUMIFS($F$2:F26,$A$2:A26,"&gt;="&amp;EOMONTH(A26,-1)+1))</f>
        <v/>
      </c>
      <c r="I26" s="7" t="n"/>
    </row>
    <row r="27">
      <c r="A27" s="6" t="n"/>
      <c r="B27" s="7" t="n"/>
      <c r="C27" s="7" t="n"/>
      <c r="D27" s="7" t="n"/>
      <c r="E27" s="8" t="n"/>
      <c r="F27" s="8">
        <f>IF(OR(D27="",E27=""),"",D27*E27)</f>
        <v/>
      </c>
      <c r="G27" s="7" t="n"/>
      <c r="H27" s="8">
        <f>IF(A27="","",SUMIFS($F$2:F27,$A$2:A27,"&gt;="&amp;EOMONTH(A27,-1)+1))</f>
        <v/>
      </c>
      <c r="I27" s="7" t="n"/>
    </row>
    <row r="28">
      <c r="A28" s="6" t="n"/>
      <c r="B28" s="7" t="n"/>
      <c r="C28" s="7" t="n"/>
      <c r="D28" s="7" t="n"/>
      <c r="E28" s="8" t="n"/>
      <c r="F28" s="8">
        <f>IF(OR(D28="",E28=""),"",D28*E28)</f>
        <v/>
      </c>
      <c r="G28" s="7" t="n"/>
      <c r="H28" s="8">
        <f>IF(A28="","",SUMIFS($F$2:F28,$A$2:A28,"&gt;="&amp;EOMONTH(A28,-1)+1))</f>
        <v/>
      </c>
      <c r="I28" s="7" t="n"/>
    </row>
    <row r="29">
      <c r="A29" s="6" t="n"/>
      <c r="B29" s="7" t="n"/>
      <c r="C29" s="7" t="n"/>
      <c r="D29" s="7" t="n"/>
      <c r="E29" s="8" t="n"/>
      <c r="F29" s="8">
        <f>IF(OR(D29="",E29=""),"",D29*E29)</f>
        <v/>
      </c>
      <c r="G29" s="7" t="n"/>
      <c r="H29" s="8">
        <f>IF(A29="","",SUMIFS($F$2:F29,$A$2:A29,"&gt;="&amp;EOMONTH(A29,-1)+1))</f>
        <v/>
      </c>
      <c r="I29" s="7" t="n"/>
    </row>
    <row r="30">
      <c r="A30" s="6" t="n"/>
      <c r="B30" s="7" t="n"/>
      <c r="C30" s="7" t="n"/>
      <c r="D30" s="7" t="n"/>
      <c r="E30" s="8" t="n"/>
      <c r="F30" s="8">
        <f>IF(OR(D30="",E30=""),"",D30*E30)</f>
        <v/>
      </c>
      <c r="G30" s="7" t="n"/>
      <c r="H30" s="8">
        <f>IF(A30="","",SUMIFS($F$2:F30,$A$2:A30,"&gt;="&amp;EOMONTH(A30,-1)+1))</f>
        <v/>
      </c>
      <c r="I30" s="7" t="n"/>
    </row>
    <row r="31">
      <c r="A31" s="6" t="n"/>
      <c r="B31" s="7" t="n"/>
      <c r="C31" s="7" t="n"/>
      <c r="D31" s="7" t="n"/>
      <c r="E31" s="8" t="n"/>
      <c r="F31" s="8">
        <f>IF(OR(D31="",E31=""),"",D31*E31)</f>
        <v/>
      </c>
      <c r="G31" s="7" t="n"/>
      <c r="H31" s="8">
        <f>IF(A31="","",SUMIFS($F$2:F31,$A$2:A31,"&gt;="&amp;EOMONTH(A31,-1)+1))</f>
        <v/>
      </c>
      <c r="I31" s="7" t="n"/>
    </row>
    <row r="32">
      <c r="A32" s="6" t="n"/>
      <c r="B32" s="7" t="n"/>
      <c r="C32" s="7" t="n"/>
      <c r="D32" s="7" t="n"/>
      <c r="E32" s="8" t="n"/>
      <c r="F32" s="8">
        <f>IF(OR(D32="",E32=""),"",D32*E32)</f>
        <v/>
      </c>
      <c r="G32" s="7" t="n"/>
      <c r="H32" s="8">
        <f>IF(A32="","",SUMIFS($F$2:F32,$A$2:A32,"&gt;="&amp;EOMONTH(A32,-1)+1))</f>
        <v/>
      </c>
      <c r="I32" s="7" t="n"/>
    </row>
    <row r="33">
      <c r="A33" s="6" t="n"/>
      <c r="B33" s="7" t="n"/>
      <c r="C33" s="7" t="n"/>
      <c r="D33" s="7" t="n"/>
      <c r="E33" s="8" t="n"/>
      <c r="F33" s="8">
        <f>IF(OR(D33="",E33=""),"",D33*E33)</f>
        <v/>
      </c>
      <c r="G33" s="7" t="n"/>
      <c r="H33" s="8">
        <f>IF(A33="","",SUMIFS($F$2:F33,$A$2:A33,"&gt;="&amp;EOMONTH(A33,-1)+1))</f>
        <v/>
      </c>
      <c r="I33" s="7" t="n"/>
    </row>
    <row r="34">
      <c r="A34" s="6" t="n"/>
      <c r="B34" s="7" t="n"/>
      <c r="C34" s="7" t="n"/>
      <c r="D34" s="7" t="n"/>
      <c r="E34" s="8" t="n"/>
      <c r="F34" s="8">
        <f>IF(OR(D34="",E34=""),"",D34*E34)</f>
        <v/>
      </c>
      <c r="G34" s="7" t="n"/>
      <c r="H34" s="8">
        <f>IF(A34="","",SUMIFS($F$2:F34,$A$2:A34,"&gt;="&amp;EOMONTH(A34,-1)+1))</f>
        <v/>
      </c>
      <c r="I34" s="7" t="n"/>
    </row>
    <row r="35">
      <c r="A35" s="6" t="n"/>
      <c r="B35" s="7" t="n"/>
      <c r="C35" s="7" t="n"/>
      <c r="D35" s="7" t="n"/>
      <c r="E35" s="8" t="n"/>
      <c r="F35" s="8">
        <f>IF(OR(D35="",E35=""),"",D35*E35)</f>
        <v/>
      </c>
      <c r="G35" s="7" t="n"/>
      <c r="H35" s="8">
        <f>IF(A35="","",SUMIFS($F$2:F35,$A$2:A35,"&gt;="&amp;EOMONTH(A35,-1)+1))</f>
        <v/>
      </c>
      <c r="I35" s="7" t="n"/>
    </row>
    <row r="36">
      <c r="A36" s="6" t="n"/>
      <c r="B36" s="7" t="n"/>
      <c r="C36" s="7" t="n"/>
      <c r="D36" s="7" t="n"/>
      <c r="E36" s="8" t="n"/>
      <c r="F36" s="8">
        <f>IF(OR(D36="",E36=""),"",D36*E36)</f>
        <v/>
      </c>
      <c r="G36" s="7" t="n"/>
      <c r="H36" s="8">
        <f>IF(A36="","",SUMIFS($F$2:F36,$A$2:A36,"&gt;="&amp;EOMONTH(A36,-1)+1))</f>
        <v/>
      </c>
      <c r="I36" s="7" t="n"/>
    </row>
    <row r="37">
      <c r="A37" s="6" t="n"/>
      <c r="B37" s="7" t="n"/>
      <c r="C37" s="7" t="n"/>
      <c r="D37" s="7" t="n"/>
      <c r="E37" s="8" t="n"/>
      <c r="F37" s="8">
        <f>IF(OR(D37="",E37=""),"",D37*E37)</f>
        <v/>
      </c>
      <c r="G37" s="7" t="n"/>
      <c r="H37" s="8">
        <f>IF(A37="","",SUMIFS($F$2:F37,$A$2:A37,"&gt;="&amp;EOMONTH(A37,-1)+1))</f>
        <v/>
      </c>
      <c r="I37" s="7" t="n"/>
    </row>
    <row r="38">
      <c r="A38" s="6" t="n"/>
      <c r="B38" s="7" t="n"/>
      <c r="C38" s="7" t="n"/>
      <c r="D38" s="7" t="n"/>
      <c r="E38" s="8" t="n"/>
      <c r="F38" s="8">
        <f>IF(OR(D38="",E38=""),"",D38*E38)</f>
        <v/>
      </c>
      <c r="G38" s="7" t="n"/>
      <c r="H38" s="8">
        <f>IF(A38="","",SUMIFS($F$2:F38,$A$2:A38,"&gt;="&amp;EOMONTH(A38,-1)+1))</f>
        <v/>
      </c>
      <c r="I38" s="7" t="n"/>
    </row>
    <row r="39">
      <c r="A39" s="6" t="n"/>
      <c r="B39" s="7" t="n"/>
      <c r="C39" s="7" t="n"/>
      <c r="D39" s="7" t="n"/>
      <c r="E39" s="8" t="n"/>
      <c r="F39" s="8">
        <f>IF(OR(D39="",E39=""),"",D39*E39)</f>
        <v/>
      </c>
      <c r="G39" s="7" t="n"/>
      <c r="H39" s="8">
        <f>IF(A39="","",SUMIFS($F$2:F39,$A$2:A39,"&gt;="&amp;EOMONTH(A39,-1)+1))</f>
        <v/>
      </c>
      <c r="I39" s="7" t="n"/>
    </row>
    <row r="40">
      <c r="A40" s="6" t="n"/>
      <c r="B40" s="7" t="n"/>
      <c r="C40" s="7" t="n"/>
      <c r="D40" s="7" t="n"/>
      <c r="E40" s="8" t="n"/>
      <c r="F40" s="8">
        <f>IF(OR(D40="",E40=""),"",D40*E40)</f>
        <v/>
      </c>
      <c r="G40" s="7" t="n"/>
      <c r="H40" s="8">
        <f>IF(A40="","",SUMIFS($F$2:F40,$A$2:A40,"&gt;="&amp;EOMONTH(A40,-1)+1))</f>
        <v/>
      </c>
      <c r="I40" s="7" t="n"/>
    </row>
    <row r="41">
      <c r="A41" s="6" t="n"/>
      <c r="B41" s="7" t="n"/>
      <c r="C41" s="7" t="n"/>
      <c r="D41" s="7" t="n"/>
      <c r="E41" s="8" t="n"/>
      <c r="F41" s="8">
        <f>IF(OR(D41="",E41=""),"",D41*E41)</f>
        <v/>
      </c>
      <c r="G41" s="7" t="n"/>
      <c r="H41" s="8">
        <f>IF(A41="","",SUMIFS($F$2:F41,$A$2:A41,"&gt;="&amp;EOMONTH(A41,-1)+1))</f>
        <v/>
      </c>
      <c r="I41" s="7" t="n"/>
    </row>
    <row r="42">
      <c r="A42" s="6" t="n"/>
      <c r="B42" s="7" t="n"/>
      <c r="C42" s="7" t="n"/>
      <c r="D42" s="7" t="n"/>
      <c r="E42" s="8" t="n"/>
      <c r="F42" s="8">
        <f>IF(OR(D42="",E42=""),"",D42*E42)</f>
        <v/>
      </c>
      <c r="G42" s="7" t="n"/>
      <c r="H42" s="8">
        <f>IF(A42="","",SUMIFS($F$2:F42,$A$2:A42,"&gt;="&amp;EOMONTH(A42,-1)+1))</f>
        <v/>
      </c>
      <c r="I42" s="7" t="n"/>
    </row>
    <row r="43">
      <c r="A43" s="6" t="n"/>
      <c r="B43" s="7" t="n"/>
      <c r="C43" s="7" t="n"/>
      <c r="D43" s="7" t="n"/>
      <c r="E43" s="8" t="n"/>
      <c r="F43" s="8">
        <f>IF(OR(D43="",E43=""),"",D43*E43)</f>
        <v/>
      </c>
      <c r="G43" s="7" t="n"/>
      <c r="H43" s="8">
        <f>IF(A43="","",SUMIFS($F$2:F43,$A$2:A43,"&gt;="&amp;EOMONTH(A43,-1)+1))</f>
        <v/>
      </c>
      <c r="I43" s="7" t="n"/>
    </row>
    <row r="44">
      <c r="A44" s="6" t="n"/>
      <c r="B44" s="7" t="n"/>
      <c r="C44" s="7" t="n"/>
      <c r="D44" s="7" t="n"/>
      <c r="E44" s="8" t="n"/>
      <c r="F44" s="8">
        <f>IF(OR(D44="",E44=""),"",D44*E44)</f>
        <v/>
      </c>
      <c r="G44" s="7" t="n"/>
      <c r="H44" s="8">
        <f>IF(A44="","",SUMIFS($F$2:F44,$A$2:A44,"&gt;="&amp;EOMONTH(A44,-1)+1))</f>
        <v/>
      </c>
      <c r="I44" s="7" t="n"/>
    </row>
    <row r="45">
      <c r="A45" s="6" t="n"/>
      <c r="B45" s="7" t="n"/>
      <c r="C45" s="7" t="n"/>
      <c r="D45" s="7" t="n"/>
      <c r="E45" s="8" t="n"/>
      <c r="F45" s="8">
        <f>IF(OR(D45="",E45=""),"",D45*E45)</f>
        <v/>
      </c>
      <c r="G45" s="7" t="n"/>
      <c r="H45" s="8">
        <f>IF(A45="","",SUMIFS($F$2:F45,$A$2:A45,"&gt;="&amp;EOMONTH(A45,-1)+1))</f>
        <v/>
      </c>
      <c r="I45" s="7" t="n"/>
    </row>
    <row r="46">
      <c r="A46" s="6" t="n"/>
      <c r="B46" s="7" t="n"/>
      <c r="C46" s="7" t="n"/>
      <c r="D46" s="7" t="n"/>
      <c r="E46" s="8" t="n"/>
      <c r="F46" s="8">
        <f>IF(OR(D46="",E46=""),"",D46*E46)</f>
        <v/>
      </c>
      <c r="G46" s="7" t="n"/>
      <c r="H46" s="8">
        <f>IF(A46="","",SUMIFS($F$2:F46,$A$2:A46,"&gt;="&amp;EOMONTH(A46,-1)+1))</f>
        <v/>
      </c>
      <c r="I46" s="7" t="n"/>
    </row>
    <row r="47">
      <c r="A47" s="6" t="n"/>
      <c r="B47" s="7" t="n"/>
      <c r="C47" s="7" t="n"/>
      <c r="D47" s="7" t="n"/>
      <c r="E47" s="8" t="n"/>
      <c r="F47" s="8">
        <f>IF(OR(D47="",E47=""),"",D47*E47)</f>
        <v/>
      </c>
      <c r="G47" s="7" t="n"/>
      <c r="H47" s="8">
        <f>IF(A47="","",SUMIFS($F$2:F47,$A$2:A47,"&gt;="&amp;EOMONTH(A47,-1)+1))</f>
        <v/>
      </c>
      <c r="I47" s="7" t="n"/>
    </row>
    <row r="48">
      <c r="A48" s="6" t="n"/>
      <c r="B48" s="7" t="n"/>
      <c r="C48" s="7" t="n"/>
      <c r="D48" s="7" t="n"/>
      <c r="E48" s="8" t="n"/>
      <c r="F48" s="8">
        <f>IF(OR(D48="",E48=""),"",D48*E48)</f>
        <v/>
      </c>
      <c r="G48" s="7" t="n"/>
      <c r="H48" s="8">
        <f>IF(A48="","",SUMIFS($F$2:F48,$A$2:A48,"&gt;="&amp;EOMONTH(A48,-1)+1))</f>
        <v/>
      </c>
      <c r="I48" s="7" t="n"/>
    </row>
    <row r="49">
      <c r="A49" s="6" t="n"/>
      <c r="B49" s="7" t="n"/>
      <c r="C49" s="7" t="n"/>
      <c r="D49" s="7" t="n"/>
      <c r="E49" s="8" t="n"/>
      <c r="F49" s="8">
        <f>IF(OR(D49="",E49=""),"",D49*E49)</f>
        <v/>
      </c>
      <c r="G49" s="7" t="n"/>
      <c r="H49" s="8">
        <f>IF(A49="","",SUMIFS($F$2:F49,$A$2:A49,"&gt;="&amp;EOMONTH(A49,-1)+1))</f>
        <v/>
      </c>
      <c r="I49" s="7" t="n"/>
    </row>
    <row r="50">
      <c r="A50" s="6" t="n"/>
      <c r="B50" s="7" t="n"/>
      <c r="C50" s="7" t="n"/>
      <c r="D50" s="7" t="n"/>
      <c r="E50" s="8" t="n"/>
      <c r="F50" s="8">
        <f>IF(OR(D50="",E50=""),"",D50*E50)</f>
        <v/>
      </c>
      <c r="G50" s="7" t="n"/>
      <c r="H50" s="8">
        <f>IF(A50="","",SUMIFS($F$2:F50,$A$2:A50,"&gt;="&amp;EOMONTH(A50,-1)+1))</f>
        <v/>
      </c>
      <c r="I50" s="7" t="n"/>
    </row>
    <row r="51">
      <c r="A51" s="6" t="n"/>
      <c r="B51" s="7" t="n"/>
      <c r="C51" s="7" t="n"/>
      <c r="D51" s="7" t="n"/>
      <c r="E51" s="8" t="n"/>
      <c r="F51" s="8">
        <f>IF(OR(D51="",E51=""),"",D51*E51)</f>
        <v/>
      </c>
      <c r="G51" s="7" t="n"/>
      <c r="H51" s="8">
        <f>IF(A51="","",SUMIFS($F$2:F51,$A$2:A51,"&gt;="&amp;EOMONTH(A51,-1)+1))</f>
        <v/>
      </c>
      <c r="I51" s="7" t="n"/>
    </row>
    <row r="52">
      <c r="A52" s="6" t="n"/>
      <c r="B52" s="7" t="n"/>
      <c r="C52" s="7" t="n"/>
      <c r="D52" s="7" t="n"/>
      <c r="E52" s="8" t="n"/>
      <c r="F52" s="8">
        <f>IF(OR(D52="",E52=""),"",D52*E52)</f>
        <v/>
      </c>
      <c r="G52" s="7" t="n"/>
      <c r="H52" s="8">
        <f>IF(A52="","",SUMIFS($F$2:F52,$A$2:A52,"&gt;="&amp;EOMONTH(A52,-1)+1))</f>
        <v/>
      </c>
      <c r="I52" s="7" t="n"/>
    </row>
    <row r="53">
      <c r="A53" s="6" t="n"/>
      <c r="B53" s="7" t="n"/>
      <c r="C53" s="7" t="n"/>
      <c r="D53" s="7" t="n"/>
      <c r="E53" s="8" t="n"/>
      <c r="F53" s="8">
        <f>IF(OR(D53="",E53=""),"",D53*E53)</f>
        <v/>
      </c>
      <c r="G53" s="7" t="n"/>
      <c r="H53" s="8">
        <f>IF(A53="","",SUMIFS($F$2:F53,$A$2:A53,"&gt;="&amp;EOMONTH(A53,-1)+1))</f>
        <v/>
      </c>
      <c r="I53" s="7" t="n"/>
    </row>
    <row r="54">
      <c r="A54" s="6" t="n"/>
      <c r="B54" s="7" t="n"/>
      <c r="C54" s="7" t="n"/>
      <c r="D54" s="7" t="n"/>
      <c r="E54" s="8" t="n"/>
      <c r="F54" s="8">
        <f>IF(OR(D54="",E54=""),"",D54*E54)</f>
        <v/>
      </c>
      <c r="G54" s="7" t="n"/>
      <c r="H54" s="8">
        <f>IF(A54="","",SUMIFS($F$2:F54,$A$2:A54,"&gt;="&amp;EOMONTH(A54,-1)+1))</f>
        <v/>
      </c>
      <c r="I54" s="7" t="n"/>
    </row>
    <row r="55">
      <c r="A55" s="6" t="n"/>
      <c r="B55" s="7" t="n"/>
      <c r="C55" s="7" t="n"/>
      <c r="D55" s="7" t="n"/>
      <c r="E55" s="8" t="n"/>
      <c r="F55" s="8">
        <f>IF(OR(D55="",E55=""),"",D55*E55)</f>
        <v/>
      </c>
      <c r="G55" s="7" t="n"/>
      <c r="H55" s="8">
        <f>IF(A55="","",SUMIFS($F$2:F55,$A$2:A55,"&gt;="&amp;EOMONTH(A55,-1)+1))</f>
        <v/>
      </c>
      <c r="I55" s="7" t="n"/>
    </row>
    <row r="56">
      <c r="A56" s="6" t="n"/>
      <c r="B56" s="7" t="n"/>
      <c r="C56" s="7" t="n"/>
      <c r="D56" s="7" t="n"/>
      <c r="E56" s="8" t="n"/>
      <c r="F56" s="8">
        <f>IF(OR(D56="",E56=""),"",D56*E56)</f>
        <v/>
      </c>
      <c r="G56" s="7" t="n"/>
      <c r="H56" s="8">
        <f>IF(A56="","",SUMIFS($F$2:F56,$A$2:A56,"&gt;="&amp;EOMONTH(A56,-1)+1))</f>
        <v/>
      </c>
      <c r="I56" s="7" t="n"/>
    </row>
    <row r="57">
      <c r="A57" s="6" t="n"/>
      <c r="B57" s="7" t="n"/>
      <c r="C57" s="7" t="n"/>
      <c r="D57" s="7" t="n"/>
      <c r="E57" s="8" t="n"/>
      <c r="F57" s="8">
        <f>IF(OR(D57="",E57=""),"",D57*E57)</f>
        <v/>
      </c>
      <c r="G57" s="7" t="n"/>
      <c r="H57" s="8">
        <f>IF(A57="","",SUMIFS($F$2:F57,$A$2:A57,"&gt;="&amp;EOMONTH(A57,-1)+1))</f>
        <v/>
      </c>
      <c r="I57" s="7" t="n"/>
    </row>
    <row r="58">
      <c r="A58" s="6" t="n"/>
      <c r="B58" s="7" t="n"/>
      <c r="C58" s="7" t="n"/>
      <c r="D58" s="7" t="n"/>
      <c r="E58" s="8" t="n"/>
      <c r="F58" s="8">
        <f>IF(OR(D58="",E58=""),"",D58*E58)</f>
        <v/>
      </c>
      <c r="G58" s="7" t="n"/>
      <c r="H58" s="8">
        <f>IF(A58="","",SUMIFS($F$2:F58,$A$2:A58,"&gt;="&amp;EOMONTH(A58,-1)+1))</f>
        <v/>
      </c>
      <c r="I58" s="7" t="n"/>
    </row>
    <row r="59">
      <c r="A59" s="6" t="n"/>
      <c r="B59" s="7" t="n"/>
      <c r="C59" s="7" t="n"/>
      <c r="D59" s="7" t="n"/>
      <c r="E59" s="8" t="n"/>
      <c r="F59" s="8">
        <f>IF(OR(D59="",E59=""),"",D59*E59)</f>
        <v/>
      </c>
      <c r="G59" s="7" t="n"/>
      <c r="H59" s="8">
        <f>IF(A59="","",SUMIFS($F$2:F59,$A$2:A59,"&gt;="&amp;EOMONTH(A59,-1)+1))</f>
        <v/>
      </c>
      <c r="I59" s="7" t="n"/>
    </row>
    <row r="60">
      <c r="A60" s="6" t="n"/>
      <c r="B60" s="7" t="n"/>
      <c r="C60" s="7" t="n"/>
      <c r="D60" s="7" t="n"/>
      <c r="E60" s="8" t="n"/>
      <c r="F60" s="8">
        <f>IF(OR(D60="",E60=""),"",D60*E60)</f>
        <v/>
      </c>
      <c r="G60" s="7" t="n"/>
      <c r="H60" s="8">
        <f>IF(A60="","",SUMIFS($F$2:F60,$A$2:A60,"&gt;="&amp;EOMONTH(A60,-1)+1))</f>
        <v/>
      </c>
      <c r="I60" s="7" t="n"/>
    </row>
    <row r="61">
      <c r="A61" s="6" t="n"/>
      <c r="B61" s="7" t="n"/>
      <c r="C61" s="7" t="n"/>
      <c r="D61" s="7" t="n"/>
      <c r="E61" s="8" t="n"/>
      <c r="F61" s="8">
        <f>IF(OR(D61="",E61=""),"",D61*E61)</f>
        <v/>
      </c>
      <c r="G61" s="7" t="n"/>
      <c r="H61" s="8">
        <f>IF(A61="","",SUMIFS($F$2:F61,$A$2:A61,"&gt;="&amp;EOMONTH(A61,-1)+1))</f>
        <v/>
      </c>
      <c r="I61" s="7" t="n"/>
    </row>
  </sheetData>
  <autoFilter ref="A1:I61"/>
  <dataValidations count="3">
    <dataValidation sqref="B2:B61" showDropDown="0" showInputMessage="0" showErrorMessage="0" allowBlank="1" type="list">
      <formula1>"Gemini,WhatsApp Cloud API,Hosting,Razorpay"</formula1>
    </dataValidation>
    <dataValidation sqref="C2:C61" showDropDown="0" showInputMessage="0" showErrorMessage="0" allowBlank="1" type="list">
      <formula1>"Text generation,Image analysis,Utility message,Service-window message (free),Server hosting,Transaction fee"</formula1>
    </dataValidation>
    <dataValidation sqref="G2:G61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30" customWidth="1" min="10" max="10"/>
  </cols>
  <sheetData>
    <row r="1" ht="30" customHeight="1">
      <c r="A1" s="5" t="inlineStr">
        <is>
          <t>User ID</t>
        </is>
      </c>
      <c r="B1" s="5" t="inlineStr">
        <is>
          <t>Name</t>
        </is>
      </c>
      <c r="C1" s="5" t="inlineStr">
        <is>
          <t>Signup Date</t>
        </is>
      </c>
      <c r="D1" s="5" t="inlineStr">
        <is>
          <t>Plan</t>
        </is>
      </c>
      <c r="E1" s="5" t="inlineStr">
        <is>
          <t>Deposit Paid</t>
        </is>
      </c>
      <c r="F1" s="5" t="inlineStr">
        <is>
          <t>Status</t>
        </is>
      </c>
      <c r="G1" s="5" t="inlineStr">
        <is>
          <t>Current Streak</t>
        </is>
      </c>
      <c r="H1" s="5" t="inlineStr">
        <is>
          <t>Last Check-in</t>
        </is>
      </c>
      <c r="I1" s="5" t="inlineStr">
        <is>
          <t>Payment Status</t>
        </is>
      </c>
      <c r="J1" s="5" t="inlineStr">
        <is>
          <t>Notes</t>
        </is>
      </c>
    </row>
    <row r="2">
      <c r="A2" s="7" t="n"/>
      <c r="B2" s="7" t="n"/>
      <c r="C2" s="6" t="n"/>
      <c r="D2" s="7" t="n"/>
      <c r="E2" s="7" t="n"/>
      <c r="F2" s="7" t="n"/>
      <c r="G2" s="7" t="n"/>
      <c r="H2" s="6" t="n"/>
      <c r="I2" s="7" t="n"/>
      <c r="J2" s="7" t="n"/>
    </row>
    <row r="3">
      <c r="A3" s="7" t="n"/>
      <c r="B3" s="7" t="n"/>
      <c r="C3" s="6" t="n"/>
      <c r="D3" s="7" t="n"/>
      <c r="E3" s="7" t="n"/>
      <c r="F3" s="7" t="n"/>
      <c r="G3" s="7" t="n"/>
      <c r="H3" s="6" t="n"/>
      <c r="I3" s="7" t="n"/>
      <c r="J3" s="7" t="n"/>
    </row>
    <row r="4">
      <c r="A4" s="7" t="n"/>
      <c r="B4" s="7" t="n"/>
      <c r="C4" s="6" t="n"/>
      <c r="D4" s="7" t="n"/>
      <c r="E4" s="7" t="n"/>
      <c r="F4" s="7" t="n"/>
      <c r="G4" s="7" t="n"/>
      <c r="H4" s="6" t="n"/>
      <c r="I4" s="7" t="n"/>
      <c r="J4" s="7" t="n"/>
    </row>
    <row r="5">
      <c r="A5" s="7" t="n"/>
      <c r="B5" s="7" t="n"/>
      <c r="C5" s="6" t="n"/>
      <c r="D5" s="7" t="n"/>
      <c r="E5" s="7" t="n"/>
      <c r="F5" s="7" t="n"/>
      <c r="G5" s="7" t="n"/>
      <c r="H5" s="6" t="n"/>
      <c r="I5" s="7" t="n"/>
      <c r="J5" s="7" t="n"/>
    </row>
    <row r="6">
      <c r="A6" s="7" t="n"/>
      <c r="B6" s="7" t="n"/>
      <c r="C6" s="6" t="n"/>
      <c r="D6" s="7" t="n"/>
      <c r="E6" s="7" t="n"/>
      <c r="F6" s="7" t="n"/>
      <c r="G6" s="7" t="n"/>
      <c r="H6" s="6" t="n"/>
      <c r="I6" s="7" t="n"/>
      <c r="J6" s="7" t="n"/>
    </row>
    <row r="7">
      <c r="A7" s="7" t="n"/>
      <c r="B7" s="7" t="n"/>
      <c r="C7" s="6" t="n"/>
      <c r="D7" s="7" t="n"/>
      <c r="E7" s="7" t="n"/>
      <c r="F7" s="7" t="n"/>
      <c r="G7" s="7" t="n"/>
      <c r="H7" s="6" t="n"/>
      <c r="I7" s="7" t="n"/>
      <c r="J7" s="7" t="n"/>
    </row>
    <row r="8">
      <c r="A8" s="7" t="n"/>
      <c r="B8" s="7" t="n"/>
      <c r="C8" s="6" t="n"/>
      <c r="D8" s="7" t="n"/>
      <c r="E8" s="7" t="n"/>
      <c r="F8" s="7" t="n"/>
      <c r="G8" s="7" t="n"/>
      <c r="H8" s="6" t="n"/>
      <c r="I8" s="7" t="n"/>
      <c r="J8" s="7" t="n"/>
    </row>
    <row r="9">
      <c r="A9" s="7" t="n"/>
      <c r="B9" s="7" t="n"/>
      <c r="C9" s="6" t="n"/>
      <c r="D9" s="7" t="n"/>
      <c r="E9" s="7" t="n"/>
      <c r="F9" s="7" t="n"/>
      <c r="G9" s="7" t="n"/>
      <c r="H9" s="6" t="n"/>
      <c r="I9" s="7" t="n"/>
      <c r="J9" s="7" t="n"/>
    </row>
    <row r="10">
      <c r="A10" s="7" t="n"/>
      <c r="B10" s="7" t="n"/>
      <c r="C10" s="6" t="n"/>
      <c r="D10" s="7" t="n"/>
      <c r="E10" s="7" t="n"/>
      <c r="F10" s="7" t="n"/>
      <c r="G10" s="7" t="n"/>
      <c r="H10" s="6" t="n"/>
      <c r="I10" s="7" t="n"/>
      <c r="J10" s="7" t="n"/>
    </row>
    <row r="11">
      <c r="A11" s="7" t="n"/>
      <c r="B11" s="7" t="n"/>
      <c r="C11" s="6" t="n"/>
      <c r="D11" s="7" t="n"/>
      <c r="E11" s="7" t="n"/>
      <c r="F11" s="7" t="n"/>
      <c r="G11" s="7" t="n"/>
      <c r="H11" s="6" t="n"/>
      <c r="I11" s="7" t="n"/>
      <c r="J11" s="7" t="n"/>
    </row>
    <row r="12">
      <c r="A12" s="7" t="n"/>
      <c r="B12" s="7" t="n"/>
      <c r="C12" s="6" t="n"/>
      <c r="D12" s="7" t="n"/>
      <c r="E12" s="7" t="n"/>
      <c r="F12" s="7" t="n"/>
      <c r="G12" s="7" t="n"/>
      <c r="H12" s="6" t="n"/>
      <c r="I12" s="7" t="n"/>
      <c r="J12" s="7" t="n"/>
    </row>
    <row r="13">
      <c r="A13" s="7" t="n"/>
      <c r="B13" s="7" t="n"/>
      <c r="C13" s="6" t="n"/>
      <c r="D13" s="7" t="n"/>
      <c r="E13" s="7" t="n"/>
      <c r="F13" s="7" t="n"/>
      <c r="G13" s="7" t="n"/>
      <c r="H13" s="6" t="n"/>
      <c r="I13" s="7" t="n"/>
      <c r="J13" s="7" t="n"/>
    </row>
    <row r="14">
      <c r="A14" s="7" t="n"/>
      <c r="B14" s="7" t="n"/>
      <c r="C14" s="6" t="n"/>
      <c r="D14" s="7" t="n"/>
      <c r="E14" s="7" t="n"/>
      <c r="F14" s="7" t="n"/>
      <c r="G14" s="7" t="n"/>
      <c r="H14" s="6" t="n"/>
      <c r="I14" s="7" t="n"/>
      <c r="J14" s="7" t="n"/>
    </row>
    <row r="15">
      <c r="A15" s="7" t="n"/>
      <c r="B15" s="7" t="n"/>
      <c r="C15" s="6" t="n"/>
      <c r="D15" s="7" t="n"/>
      <c r="E15" s="7" t="n"/>
      <c r="F15" s="7" t="n"/>
      <c r="G15" s="7" t="n"/>
      <c r="H15" s="6" t="n"/>
      <c r="I15" s="7" t="n"/>
      <c r="J15" s="7" t="n"/>
    </row>
    <row r="16">
      <c r="A16" s="7" t="n"/>
      <c r="B16" s="7" t="n"/>
      <c r="C16" s="6" t="n"/>
      <c r="D16" s="7" t="n"/>
      <c r="E16" s="7" t="n"/>
      <c r="F16" s="7" t="n"/>
      <c r="G16" s="7" t="n"/>
      <c r="H16" s="6" t="n"/>
      <c r="I16" s="7" t="n"/>
      <c r="J16" s="7" t="n"/>
    </row>
    <row r="17">
      <c r="A17" s="7" t="n"/>
      <c r="B17" s="7" t="n"/>
      <c r="C17" s="6" t="n"/>
      <c r="D17" s="7" t="n"/>
      <c r="E17" s="7" t="n"/>
      <c r="F17" s="7" t="n"/>
      <c r="G17" s="7" t="n"/>
      <c r="H17" s="6" t="n"/>
      <c r="I17" s="7" t="n"/>
      <c r="J17" s="7" t="n"/>
    </row>
    <row r="18">
      <c r="A18" s="7" t="n"/>
      <c r="B18" s="7" t="n"/>
      <c r="C18" s="6" t="n"/>
      <c r="D18" s="7" t="n"/>
      <c r="E18" s="7" t="n"/>
      <c r="F18" s="7" t="n"/>
      <c r="G18" s="7" t="n"/>
      <c r="H18" s="6" t="n"/>
      <c r="I18" s="7" t="n"/>
      <c r="J18" s="7" t="n"/>
    </row>
    <row r="19">
      <c r="A19" s="7" t="n"/>
      <c r="B19" s="7" t="n"/>
      <c r="C19" s="6" t="n"/>
      <c r="D19" s="7" t="n"/>
      <c r="E19" s="7" t="n"/>
      <c r="F19" s="7" t="n"/>
      <c r="G19" s="7" t="n"/>
      <c r="H19" s="6" t="n"/>
      <c r="I19" s="7" t="n"/>
      <c r="J19" s="7" t="n"/>
    </row>
    <row r="20">
      <c r="A20" s="7" t="n"/>
      <c r="B20" s="7" t="n"/>
      <c r="C20" s="6" t="n"/>
      <c r="D20" s="7" t="n"/>
      <c r="E20" s="7" t="n"/>
      <c r="F20" s="7" t="n"/>
      <c r="G20" s="7" t="n"/>
      <c r="H20" s="6" t="n"/>
      <c r="I20" s="7" t="n"/>
      <c r="J20" s="7" t="n"/>
    </row>
    <row r="21">
      <c r="A21" s="7" t="n"/>
      <c r="B21" s="7" t="n"/>
      <c r="C21" s="6" t="n"/>
      <c r="D21" s="7" t="n"/>
      <c r="E21" s="7" t="n"/>
      <c r="F21" s="7" t="n"/>
      <c r="G21" s="7" t="n"/>
      <c r="H21" s="6" t="n"/>
      <c r="I21" s="7" t="n"/>
      <c r="J21" s="7" t="n"/>
    </row>
    <row r="22">
      <c r="A22" s="7" t="n"/>
      <c r="B22" s="7" t="n"/>
      <c r="C22" s="6" t="n"/>
      <c r="D22" s="7" t="n"/>
      <c r="E22" s="7" t="n"/>
      <c r="F22" s="7" t="n"/>
      <c r="G22" s="7" t="n"/>
      <c r="H22" s="6" t="n"/>
      <c r="I22" s="7" t="n"/>
      <c r="J22" s="7" t="n"/>
    </row>
    <row r="23">
      <c r="A23" s="7" t="n"/>
      <c r="B23" s="7" t="n"/>
      <c r="C23" s="6" t="n"/>
      <c r="D23" s="7" t="n"/>
      <c r="E23" s="7" t="n"/>
      <c r="F23" s="7" t="n"/>
      <c r="G23" s="7" t="n"/>
      <c r="H23" s="6" t="n"/>
      <c r="I23" s="7" t="n"/>
      <c r="J23" s="7" t="n"/>
    </row>
    <row r="24">
      <c r="A24" s="7" t="n"/>
      <c r="B24" s="7" t="n"/>
      <c r="C24" s="6" t="n"/>
      <c r="D24" s="7" t="n"/>
      <c r="E24" s="7" t="n"/>
      <c r="F24" s="7" t="n"/>
      <c r="G24" s="7" t="n"/>
      <c r="H24" s="6" t="n"/>
      <c r="I24" s="7" t="n"/>
      <c r="J24" s="7" t="n"/>
    </row>
    <row r="25">
      <c r="A25" s="7" t="n"/>
      <c r="B25" s="7" t="n"/>
      <c r="C25" s="6" t="n"/>
      <c r="D25" s="7" t="n"/>
      <c r="E25" s="7" t="n"/>
      <c r="F25" s="7" t="n"/>
      <c r="G25" s="7" t="n"/>
      <c r="H25" s="6" t="n"/>
      <c r="I25" s="7" t="n"/>
      <c r="J25" s="7" t="n"/>
    </row>
    <row r="26">
      <c r="A26" s="7" t="n"/>
      <c r="B26" s="7" t="n"/>
      <c r="C26" s="6" t="n"/>
      <c r="D26" s="7" t="n"/>
      <c r="E26" s="7" t="n"/>
      <c r="F26" s="7" t="n"/>
      <c r="G26" s="7" t="n"/>
      <c r="H26" s="6" t="n"/>
      <c r="I26" s="7" t="n"/>
      <c r="J26" s="7" t="n"/>
    </row>
    <row r="27">
      <c r="A27" s="7" t="n"/>
      <c r="B27" s="7" t="n"/>
      <c r="C27" s="6" t="n"/>
      <c r="D27" s="7" t="n"/>
      <c r="E27" s="7" t="n"/>
      <c r="F27" s="7" t="n"/>
      <c r="G27" s="7" t="n"/>
      <c r="H27" s="6" t="n"/>
      <c r="I27" s="7" t="n"/>
      <c r="J27" s="7" t="n"/>
    </row>
    <row r="28">
      <c r="A28" s="7" t="n"/>
      <c r="B28" s="7" t="n"/>
      <c r="C28" s="6" t="n"/>
      <c r="D28" s="7" t="n"/>
      <c r="E28" s="7" t="n"/>
      <c r="F28" s="7" t="n"/>
      <c r="G28" s="7" t="n"/>
      <c r="H28" s="6" t="n"/>
      <c r="I28" s="7" t="n"/>
      <c r="J28" s="7" t="n"/>
    </row>
    <row r="29">
      <c r="A29" s="7" t="n"/>
      <c r="B29" s="7" t="n"/>
      <c r="C29" s="6" t="n"/>
      <c r="D29" s="7" t="n"/>
      <c r="E29" s="7" t="n"/>
      <c r="F29" s="7" t="n"/>
      <c r="G29" s="7" t="n"/>
      <c r="H29" s="6" t="n"/>
      <c r="I29" s="7" t="n"/>
      <c r="J29" s="7" t="n"/>
    </row>
    <row r="30">
      <c r="A30" s="7" t="n"/>
      <c r="B30" s="7" t="n"/>
      <c r="C30" s="6" t="n"/>
      <c r="D30" s="7" t="n"/>
      <c r="E30" s="7" t="n"/>
      <c r="F30" s="7" t="n"/>
      <c r="G30" s="7" t="n"/>
      <c r="H30" s="6" t="n"/>
      <c r="I30" s="7" t="n"/>
      <c r="J30" s="7" t="n"/>
    </row>
    <row r="31">
      <c r="A31" s="7" t="n"/>
      <c r="B31" s="7" t="n"/>
      <c r="C31" s="6" t="n"/>
      <c r="D31" s="7" t="n"/>
      <c r="E31" s="7" t="n"/>
      <c r="F31" s="7" t="n"/>
      <c r="G31" s="7" t="n"/>
      <c r="H31" s="6" t="n"/>
      <c r="I31" s="7" t="n"/>
      <c r="J31" s="7" t="n"/>
    </row>
    <row r="32">
      <c r="A32" s="7" t="n"/>
      <c r="B32" s="7" t="n"/>
      <c r="C32" s="6" t="n"/>
      <c r="D32" s="7" t="n"/>
      <c r="E32" s="7" t="n"/>
      <c r="F32" s="7" t="n"/>
      <c r="G32" s="7" t="n"/>
      <c r="H32" s="6" t="n"/>
      <c r="I32" s="7" t="n"/>
      <c r="J32" s="7" t="n"/>
    </row>
    <row r="33">
      <c r="A33" s="7" t="n"/>
      <c r="B33" s="7" t="n"/>
      <c r="C33" s="6" t="n"/>
      <c r="D33" s="7" t="n"/>
      <c r="E33" s="7" t="n"/>
      <c r="F33" s="7" t="n"/>
      <c r="G33" s="7" t="n"/>
      <c r="H33" s="6" t="n"/>
      <c r="I33" s="7" t="n"/>
      <c r="J33" s="7" t="n"/>
    </row>
    <row r="34">
      <c r="A34" s="7" t="n"/>
      <c r="B34" s="7" t="n"/>
      <c r="C34" s="6" t="n"/>
      <c r="D34" s="7" t="n"/>
      <c r="E34" s="7" t="n"/>
      <c r="F34" s="7" t="n"/>
      <c r="G34" s="7" t="n"/>
      <c r="H34" s="6" t="n"/>
      <c r="I34" s="7" t="n"/>
      <c r="J34" s="7" t="n"/>
    </row>
    <row r="35">
      <c r="A35" s="7" t="n"/>
      <c r="B35" s="7" t="n"/>
      <c r="C35" s="6" t="n"/>
      <c r="D35" s="7" t="n"/>
      <c r="E35" s="7" t="n"/>
      <c r="F35" s="7" t="n"/>
      <c r="G35" s="7" t="n"/>
      <c r="H35" s="6" t="n"/>
      <c r="I35" s="7" t="n"/>
      <c r="J35" s="7" t="n"/>
    </row>
    <row r="36">
      <c r="A36" s="7" t="n"/>
      <c r="B36" s="7" t="n"/>
      <c r="C36" s="6" t="n"/>
      <c r="D36" s="7" t="n"/>
      <c r="E36" s="7" t="n"/>
      <c r="F36" s="7" t="n"/>
      <c r="G36" s="7" t="n"/>
      <c r="H36" s="6" t="n"/>
      <c r="I36" s="7" t="n"/>
      <c r="J36" s="7" t="n"/>
    </row>
    <row r="37">
      <c r="A37" s="7" t="n"/>
      <c r="B37" s="7" t="n"/>
      <c r="C37" s="6" t="n"/>
      <c r="D37" s="7" t="n"/>
      <c r="E37" s="7" t="n"/>
      <c r="F37" s="7" t="n"/>
      <c r="G37" s="7" t="n"/>
      <c r="H37" s="6" t="n"/>
      <c r="I37" s="7" t="n"/>
      <c r="J37" s="7" t="n"/>
    </row>
    <row r="38">
      <c r="A38" s="7" t="n"/>
      <c r="B38" s="7" t="n"/>
      <c r="C38" s="6" t="n"/>
      <c r="D38" s="7" t="n"/>
      <c r="E38" s="7" t="n"/>
      <c r="F38" s="7" t="n"/>
      <c r="G38" s="7" t="n"/>
      <c r="H38" s="6" t="n"/>
      <c r="I38" s="7" t="n"/>
      <c r="J38" s="7" t="n"/>
    </row>
    <row r="39">
      <c r="A39" s="7" t="n"/>
      <c r="B39" s="7" t="n"/>
      <c r="C39" s="6" t="n"/>
      <c r="D39" s="7" t="n"/>
      <c r="E39" s="7" t="n"/>
      <c r="F39" s="7" t="n"/>
      <c r="G39" s="7" t="n"/>
      <c r="H39" s="6" t="n"/>
      <c r="I39" s="7" t="n"/>
      <c r="J39" s="7" t="n"/>
    </row>
    <row r="40">
      <c r="A40" s="7" t="n"/>
      <c r="B40" s="7" t="n"/>
      <c r="C40" s="6" t="n"/>
      <c r="D40" s="7" t="n"/>
      <c r="E40" s="7" t="n"/>
      <c r="F40" s="7" t="n"/>
      <c r="G40" s="7" t="n"/>
      <c r="H40" s="6" t="n"/>
      <c r="I40" s="7" t="n"/>
      <c r="J40" s="7" t="n"/>
    </row>
    <row r="41">
      <c r="A41" s="7" t="n"/>
      <c r="B41" s="7" t="n"/>
      <c r="C41" s="6" t="n"/>
      <c r="D41" s="7" t="n"/>
      <c r="E41" s="7" t="n"/>
      <c r="F41" s="7" t="n"/>
      <c r="G41" s="7" t="n"/>
      <c r="H41" s="6" t="n"/>
      <c r="I41" s="7" t="n"/>
      <c r="J41" s="7" t="n"/>
    </row>
    <row r="42">
      <c r="A42" s="7" t="n"/>
      <c r="B42" s="7" t="n"/>
      <c r="C42" s="6" t="n"/>
      <c r="D42" s="7" t="n"/>
      <c r="E42" s="7" t="n"/>
      <c r="F42" s="7" t="n"/>
      <c r="G42" s="7" t="n"/>
      <c r="H42" s="6" t="n"/>
      <c r="I42" s="7" t="n"/>
      <c r="J42" s="7" t="n"/>
    </row>
    <row r="43">
      <c r="A43" s="7" t="n"/>
      <c r="B43" s="7" t="n"/>
      <c r="C43" s="6" t="n"/>
      <c r="D43" s="7" t="n"/>
      <c r="E43" s="7" t="n"/>
      <c r="F43" s="7" t="n"/>
      <c r="G43" s="7" t="n"/>
      <c r="H43" s="6" t="n"/>
      <c r="I43" s="7" t="n"/>
      <c r="J43" s="7" t="n"/>
    </row>
    <row r="44">
      <c r="A44" s="7" t="n"/>
      <c r="B44" s="7" t="n"/>
      <c r="C44" s="6" t="n"/>
      <c r="D44" s="7" t="n"/>
      <c r="E44" s="7" t="n"/>
      <c r="F44" s="7" t="n"/>
      <c r="G44" s="7" t="n"/>
      <c r="H44" s="6" t="n"/>
      <c r="I44" s="7" t="n"/>
      <c r="J44" s="7" t="n"/>
    </row>
    <row r="45">
      <c r="A45" s="7" t="n"/>
      <c r="B45" s="7" t="n"/>
      <c r="C45" s="6" t="n"/>
      <c r="D45" s="7" t="n"/>
      <c r="E45" s="7" t="n"/>
      <c r="F45" s="7" t="n"/>
      <c r="G45" s="7" t="n"/>
      <c r="H45" s="6" t="n"/>
      <c r="I45" s="7" t="n"/>
      <c r="J45" s="7" t="n"/>
    </row>
    <row r="46">
      <c r="A46" s="7" t="n"/>
      <c r="B46" s="7" t="n"/>
      <c r="C46" s="6" t="n"/>
      <c r="D46" s="7" t="n"/>
      <c r="E46" s="7" t="n"/>
      <c r="F46" s="7" t="n"/>
      <c r="G46" s="7" t="n"/>
      <c r="H46" s="6" t="n"/>
      <c r="I46" s="7" t="n"/>
      <c r="J46" s="7" t="n"/>
    </row>
    <row r="47">
      <c r="A47" s="7" t="n"/>
      <c r="B47" s="7" t="n"/>
      <c r="C47" s="6" t="n"/>
      <c r="D47" s="7" t="n"/>
      <c r="E47" s="7" t="n"/>
      <c r="F47" s="7" t="n"/>
      <c r="G47" s="7" t="n"/>
      <c r="H47" s="6" t="n"/>
      <c r="I47" s="7" t="n"/>
      <c r="J47" s="7" t="n"/>
    </row>
    <row r="48">
      <c r="A48" s="7" t="n"/>
      <c r="B48" s="7" t="n"/>
      <c r="C48" s="6" t="n"/>
      <c r="D48" s="7" t="n"/>
      <c r="E48" s="7" t="n"/>
      <c r="F48" s="7" t="n"/>
      <c r="G48" s="7" t="n"/>
      <c r="H48" s="6" t="n"/>
      <c r="I48" s="7" t="n"/>
      <c r="J48" s="7" t="n"/>
    </row>
    <row r="49">
      <c r="A49" s="7" t="n"/>
      <c r="B49" s="7" t="n"/>
      <c r="C49" s="6" t="n"/>
      <c r="D49" s="7" t="n"/>
      <c r="E49" s="7" t="n"/>
      <c r="F49" s="7" t="n"/>
      <c r="G49" s="7" t="n"/>
      <c r="H49" s="6" t="n"/>
      <c r="I49" s="7" t="n"/>
      <c r="J49" s="7" t="n"/>
    </row>
    <row r="50">
      <c r="A50" s="7" t="n"/>
      <c r="B50" s="7" t="n"/>
      <c r="C50" s="6" t="n"/>
      <c r="D50" s="7" t="n"/>
      <c r="E50" s="7" t="n"/>
      <c r="F50" s="7" t="n"/>
      <c r="G50" s="7" t="n"/>
      <c r="H50" s="6" t="n"/>
      <c r="I50" s="7" t="n"/>
      <c r="J50" s="7" t="n"/>
    </row>
    <row r="51">
      <c r="A51" s="7" t="n"/>
      <c r="B51" s="7" t="n"/>
      <c r="C51" s="6" t="n"/>
      <c r="D51" s="7" t="n"/>
      <c r="E51" s="7" t="n"/>
      <c r="F51" s="7" t="n"/>
      <c r="G51" s="7" t="n"/>
      <c r="H51" s="6" t="n"/>
      <c r="I51" s="7" t="n"/>
      <c r="J51" s="7" t="n"/>
    </row>
    <row r="52">
      <c r="A52" s="7" t="n"/>
      <c r="B52" s="7" t="n"/>
      <c r="C52" s="6" t="n"/>
      <c r="D52" s="7" t="n"/>
      <c r="E52" s="7" t="n"/>
      <c r="F52" s="7" t="n"/>
      <c r="G52" s="7" t="n"/>
      <c r="H52" s="6" t="n"/>
      <c r="I52" s="7" t="n"/>
      <c r="J52" s="7" t="n"/>
    </row>
    <row r="53">
      <c r="A53" s="7" t="n"/>
      <c r="B53" s="7" t="n"/>
      <c r="C53" s="6" t="n"/>
      <c r="D53" s="7" t="n"/>
      <c r="E53" s="7" t="n"/>
      <c r="F53" s="7" t="n"/>
      <c r="G53" s="7" t="n"/>
      <c r="H53" s="6" t="n"/>
      <c r="I53" s="7" t="n"/>
      <c r="J53" s="7" t="n"/>
    </row>
    <row r="54">
      <c r="A54" s="7" t="n"/>
      <c r="B54" s="7" t="n"/>
      <c r="C54" s="6" t="n"/>
      <c r="D54" s="7" t="n"/>
      <c r="E54" s="7" t="n"/>
      <c r="F54" s="7" t="n"/>
      <c r="G54" s="7" t="n"/>
      <c r="H54" s="6" t="n"/>
      <c r="I54" s="7" t="n"/>
      <c r="J54" s="7" t="n"/>
    </row>
    <row r="55">
      <c r="A55" s="7" t="n"/>
      <c r="B55" s="7" t="n"/>
      <c r="C55" s="6" t="n"/>
      <c r="D55" s="7" t="n"/>
      <c r="E55" s="7" t="n"/>
      <c r="F55" s="7" t="n"/>
      <c r="G55" s="7" t="n"/>
      <c r="H55" s="6" t="n"/>
      <c r="I55" s="7" t="n"/>
      <c r="J55" s="7" t="n"/>
    </row>
    <row r="56">
      <c r="A56" s="7" t="n"/>
      <c r="B56" s="7" t="n"/>
      <c r="C56" s="6" t="n"/>
      <c r="D56" s="7" t="n"/>
      <c r="E56" s="7" t="n"/>
      <c r="F56" s="7" t="n"/>
      <c r="G56" s="7" t="n"/>
      <c r="H56" s="6" t="n"/>
      <c r="I56" s="7" t="n"/>
      <c r="J56" s="7" t="n"/>
    </row>
    <row r="57">
      <c r="A57" s="7" t="n"/>
      <c r="B57" s="7" t="n"/>
      <c r="C57" s="6" t="n"/>
      <c r="D57" s="7" t="n"/>
      <c r="E57" s="7" t="n"/>
      <c r="F57" s="7" t="n"/>
      <c r="G57" s="7" t="n"/>
      <c r="H57" s="6" t="n"/>
      <c r="I57" s="7" t="n"/>
      <c r="J57" s="7" t="n"/>
    </row>
    <row r="58">
      <c r="A58" s="7" t="n"/>
      <c r="B58" s="7" t="n"/>
      <c r="C58" s="6" t="n"/>
      <c r="D58" s="7" t="n"/>
      <c r="E58" s="7" t="n"/>
      <c r="F58" s="7" t="n"/>
      <c r="G58" s="7" t="n"/>
      <c r="H58" s="6" t="n"/>
      <c r="I58" s="7" t="n"/>
      <c r="J58" s="7" t="n"/>
    </row>
    <row r="59">
      <c r="A59" s="7" t="n"/>
      <c r="B59" s="7" t="n"/>
      <c r="C59" s="6" t="n"/>
      <c r="D59" s="7" t="n"/>
      <c r="E59" s="7" t="n"/>
      <c r="F59" s="7" t="n"/>
      <c r="G59" s="7" t="n"/>
      <c r="H59" s="6" t="n"/>
      <c r="I59" s="7" t="n"/>
      <c r="J59" s="7" t="n"/>
    </row>
    <row r="60">
      <c r="A60" s="7" t="n"/>
      <c r="B60" s="7" t="n"/>
      <c r="C60" s="6" t="n"/>
      <c r="D60" s="7" t="n"/>
      <c r="E60" s="7" t="n"/>
      <c r="F60" s="7" t="n"/>
      <c r="G60" s="7" t="n"/>
      <c r="H60" s="6" t="n"/>
      <c r="I60" s="7" t="n"/>
      <c r="J60" s="7" t="n"/>
    </row>
    <row r="61">
      <c r="A61" s="7" t="n"/>
      <c r="B61" s="7" t="n"/>
      <c r="C61" s="6" t="n"/>
      <c r="D61" s="7" t="n"/>
      <c r="E61" s="7" t="n"/>
      <c r="F61" s="7" t="n"/>
      <c r="G61" s="7" t="n"/>
      <c r="H61" s="6" t="n"/>
      <c r="I61" s="7" t="n"/>
      <c r="J61" s="7" t="n"/>
    </row>
  </sheetData>
  <autoFilter ref="A1:J61"/>
  <dataValidations count="4">
    <dataValidation sqref="D2:D61" showDropDown="0" showInputMessage="0" showErrorMessage="0" allowBlank="1" type="list">
      <formula1>"Trial,Basic,Advanced"</formula1>
    </dataValidation>
    <dataValidation sqref="E2:E61" showDropDown="0" showInputMessage="0" showErrorMessage="0" allowBlank="1" type="list">
      <formula1>"Y,N"</formula1>
    </dataValidation>
    <dataValidation sqref="F2:F61" showDropDown="0" showInputMessage="0" showErrorMessage="0" allowBlank="1" type="list">
      <formula1>"Active,Paused,Churned"</formula1>
    </dataValidation>
    <dataValidation sqref="I2:I61" showDropDown="0" showInputMessage="0" showErrorMessage="0" allowBlank="1" type="list">
      <formula1>"Paid,Pending,Overdue"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4" customWidth="1" min="4" max="4"/>
    <col width="18" customWidth="1" min="5" max="5"/>
    <col width="30" customWidth="1" min="6" max="6"/>
  </cols>
  <sheetData>
    <row r="1" ht="30" customHeight="1">
      <c r="A1" s="5" t="inlineStr">
        <is>
          <t>Date</t>
        </is>
      </c>
      <c r="B1" s="5" t="inlineStr">
        <is>
          <t>User ID</t>
        </is>
      </c>
      <c r="C1" s="5" t="inlineStr">
        <is>
          <t>Type</t>
        </is>
      </c>
      <c r="D1" s="5" t="inlineStr">
        <is>
          <t>Amount (₹)</t>
        </is>
      </c>
      <c r="E1" s="5" t="inlineStr">
        <is>
          <t>Payment Method</t>
        </is>
      </c>
      <c r="F1" s="5" t="inlineStr">
        <is>
          <t>Notes</t>
        </is>
      </c>
    </row>
    <row r="2">
      <c r="A2" s="6" t="n"/>
      <c r="B2" s="7" t="n"/>
      <c r="C2" s="7" t="n"/>
      <c r="D2" s="8" t="n"/>
      <c r="E2" s="7" t="n"/>
      <c r="F2" s="7" t="n"/>
    </row>
    <row r="3">
      <c r="A3" s="6" t="n"/>
      <c r="B3" s="7" t="n"/>
      <c r="C3" s="7" t="n"/>
      <c r="D3" s="8" t="n"/>
      <c r="E3" s="7" t="n"/>
      <c r="F3" s="7" t="n"/>
    </row>
    <row r="4">
      <c r="A4" s="6" t="n"/>
      <c r="B4" s="7" t="n"/>
      <c r="C4" s="7" t="n"/>
      <c r="D4" s="8" t="n"/>
      <c r="E4" s="7" t="n"/>
      <c r="F4" s="7" t="n"/>
    </row>
    <row r="5">
      <c r="A5" s="6" t="n"/>
      <c r="B5" s="7" t="n"/>
      <c r="C5" s="7" t="n"/>
      <c r="D5" s="8" t="n"/>
      <c r="E5" s="7" t="n"/>
      <c r="F5" s="7" t="n"/>
    </row>
    <row r="6">
      <c r="A6" s="6" t="n"/>
      <c r="B6" s="7" t="n"/>
      <c r="C6" s="7" t="n"/>
      <c r="D6" s="8" t="n"/>
      <c r="E6" s="7" t="n"/>
      <c r="F6" s="7" t="n"/>
    </row>
    <row r="7">
      <c r="A7" s="6" t="n"/>
      <c r="B7" s="7" t="n"/>
      <c r="C7" s="7" t="n"/>
      <c r="D7" s="8" t="n"/>
      <c r="E7" s="7" t="n"/>
      <c r="F7" s="7" t="n"/>
    </row>
    <row r="8">
      <c r="A8" s="6" t="n"/>
      <c r="B8" s="7" t="n"/>
      <c r="C8" s="7" t="n"/>
      <c r="D8" s="8" t="n"/>
      <c r="E8" s="7" t="n"/>
      <c r="F8" s="7" t="n"/>
    </row>
    <row r="9">
      <c r="A9" s="6" t="n"/>
      <c r="B9" s="7" t="n"/>
      <c r="C9" s="7" t="n"/>
      <c r="D9" s="8" t="n"/>
      <c r="E9" s="7" t="n"/>
      <c r="F9" s="7" t="n"/>
    </row>
    <row r="10">
      <c r="A10" s="6" t="n"/>
      <c r="B10" s="7" t="n"/>
      <c r="C10" s="7" t="n"/>
      <c r="D10" s="8" t="n"/>
      <c r="E10" s="7" t="n"/>
      <c r="F10" s="7" t="n"/>
    </row>
    <row r="11">
      <c r="A11" s="6" t="n"/>
      <c r="B11" s="7" t="n"/>
      <c r="C11" s="7" t="n"/>
      <c r="D11" s="8" t="n"/>
      <c r="E11" s="7" t="n"/>
      <c r="F11" s="7" t="n"/>
    </row>
    <row r="12">
      <c r="A12" s="6" t="n"/>
      <c r="B12" s="7" t="n"/>
      <c r="C12" s="7" t="n"/>
      <c r="D12" s="8" t="n"/>
      <c r="E12" s="7" t="n"/>
      <c r="F12" s="7" t="n"/>
    </row>
    <row r="13">
      <c r="A13" s="6" t="n"/>
      <c r="B13" s="7" t="n"/>
      <c r="C13" s="7" t="n"/>
      <c r="D13" s="8" t="n"/>
      <c r="E13" s="7" t="n"/>
      <c r="F13" s="7" t="n"/>
    </row>
    <row r="14">
      <c r="A14" s="6" t="n"/>
      <c r="B14" s="7" t="n"/>
      <c r="C14" s="7" t="n"/>
      <c r="D14" s="8" t="n"/>
      <c r="E14" s="7" t="n"/>
      <c r="F14" s="7" t="n"/>
    </row>
    <row r="15">
      <c r="A15" s="6" t="n"/>
      <c r="B15" s="7" t="n"/>
      <c r="C15" s="7" t="n"/>
      <c r="D15" s="8" t="n"/>
      <c r="E15" s="7" t="n"/>
      <c r="F15" s="7" t="n"/>
    </row>
    <row r="16">
      <c r="A16" s="6" t="n"/>
      <c r="B16" s="7" t="n"/>
      <c r="C16" s="7" t="n"/>
      <c r="D16" s="8" t="n"/>
      <c r="E16" s="7" t="n"/>
      <c r="F16" s="7" t="n"/>
    </row>
    <row r="17">
      <c r="A17" s="6" t="n"/>
      <c r="B17" s="7" t="n"/>
      <c r="C17" s="7" t="n"/>
      <c r="D17" s="8" t="n"/>
      <c r="E17" s="7" t="n"/>
      <c r="F17" s="7" t="n"/>
    </row>
    <row r="18">
      <c r="A18" s="6" t="n"/>
      <c r="B18" s="7" t="n"/>
      <c r="C18" s="7" t="n"/>
      <c r="D18" s="8" t="n"/>
      <c r="E18" s="7" t="n"/>
      <c r="F18" s="7" t="n"/>
    </row>
    <row r="19">
      <c r="A19" s="6" t="n"/>
      <c r="B19" s="7" t="n"/>
      <c r="C19" s="7" t="n"/>
      <c r="D19" s="8" t="n"/>
      <c r="E19" s="7" t="n"/>
      <c r="F19" s="7" t="n"/>
    </row>
    <row r="20">
      <c r="A20" s="6" t="n"/>
      <c r="B20" s="7" t="n"/>
      <c r="C20" s="7" t="n"/>
      <c r="D20" s="8" t="n"/>
      <c r="E20" s="7" t="n"/>
      <c r="F20" s="7" t="n"/>
    </row>
    <row r="21">
      <c r="A21" s="6" t="n"/>
      <c r="B21" s="7" t="n"/>
      <c r="C21" s="7" t="n"/>
      <c r="D21" s="8" t="n"/>
      <c r="E21" s="7" t="n"/>
      <c r="F21" s="7" t="n"/>
    </row>
    <row r="22">
      <c r="A22" s="6" t="n"/>
      <c r="B22" s="7" t="n"/>
      <c r="C22" s="7" t="n"/>
      <c r="D22" s="8" t="n"/>
      <c r="E22" s="7" t="n"/>
      <c r="F22" s="7" t="n"/>
    </row>
    <row r="23">
      <c r="A23" s="6" t="n"/>
      <c r="B23" s="7" t="n"/>
      <c r="C23" s="7" t="n"/>
      <c r="D23" s="8" t="n"/>
      <c r="E23" s="7" t="n"/>
      <c r="F23" s="7" t="n"/>
    </row>
    <row r="24">
      <c r="A24" s="6" t="n"/>
      <c r="B24" s="7" t="n"/>
      <c r="C24" s="7" t="n"/>
      <c r="D24" s="8" t="n"/>
      <c r="E24" s="7" t="n"/>
      <c r="F24" s="7" t="n"/>
    </row>
    <row r="25">
      <c r="A25" s="6" t="n"/>
      <c r="B25" s="7" t="n"/>
      <c r="C25" s="7" t="n"/>
      <c r="D25" s="8" t="n"/>
      <c r="E25" s="7" t="n"/>
      <c r="F25" s="7" t="n"/>
    </row>
    <row r="26">
      <c r="A26" s="6" t="n"/>
      <c r="B26" s="7" t="n"/>
      <c r="C26" s="7" t="n"/>
      <c r="D26" s="8" t="n"/>
      <c r="E26" s="7" t="n"/>
      <c r="F26" s="7" t="n"/>
    </row>
    <row r="27">
      <c r="A27" s="6" t="n"/>
      <c r="B27" s="7" t="n"/>
      <c r="C27" s="7" t="n"/>
      <c r="D27" s="8" t="n"/>
      <c r="E27" s="7" t="n"/>
      <c r="F27" s="7" t="n"/>
    </row>
    <row r="28">
      <c r="A28" s="6" t="n"/>
      <c r="B28" s="7" t="n"/>
      <c r="C28" s="7" t="n"/>
      <c r="D28" s="8" t="n"/>
      <c r="E28" s="7" t="n"/>
      <c r="F28" s="7" t="n"/>
    </row>
    <row r="29">
      <c r="A29" s="6" t="n"/>
      <c r="B29" s="7" t="n"/>
      <c r="C29" s="7" t="n"/>
      <c r="D29" s="8" t="n"/>
      <c r="E29" s="7" t="n"/>
      <c r="F29" s="7" t="n"/>
    </row>
    <row r="30">
      <c r="A30" s="6" t="n"/>
      <c r="B30" s="7" t="n"/>
      <c r="C30" s="7" t="n"/>
      <c r="D30" s="8" t="n"/>
      <c r="E30" s="7" t="n"/>
      <c r="F30" s="7" t="n"/>
    </row>
    <row r="31">
      <c r="A31" s="6" t="n"/>
      <c r="B31" s="7" t="n"/>
      <c r="C31" s="7" t="n"/>
      <c r="D31" s="8" t="n"/>
      <c r="E31" s="7" t="n"/>
      <c r="F31" s="7" t="n"/>
    </row>
    <row r="32">
      <c r="A32" s="6" t="n"/>
      <c r="B32" s="7" t="n"/>
      <c r="C32" s="7" t="n"/>
      <c r="D32" s="8" t="n"/>
      <c r="E32" s="7" t="n"/>
      <c r="F32" s="7" t="n"/>
    </row>
    <row r="33">
      <c r="A33" s="6" t="n"/>
      <c r="B33" s="7" t="n"/>
      <c r="C33" s="7" t="n"/>
      <c r="D33" s="8" t="n"/>
      <c r="E33" s="7" t="n"/>
      <c r="F33" s="7" t="n"/>
    </row>
    <row r="34">
      <c r="A34" s="6" t="n"/>
      <c r="B34" s="7" t="n"/>
      <c r="C34" s="7" t="n"/>
      <c r="D34" s="8" t="n"/>
      <c r="E34" s="7" t="n"/>
      <c r="F34" s="7" t="n"/>
    </row>
    <row r="35">
      <c r="A35" s="6" t="n"/>
      <c r="B35" s="7" t="n"/>
      <c r="C35" s="7" t="n"/>
      <c r="D35" s="8" t="n"/>
      <c r="E35" s="7" t="n"/>
      <c r="F35" s="7" t="n"/>
    </row>
    <row r="36">
      <c r="A36" s="6" t="n"/>
      <c r="B36" s="7" t="n"/>
      <c r="C36" s="7" t="n"/>
      <c r="D36" s="8" t="n"/>
      <c r="E36" s="7" t="n"/>
      <c r="F36" s="7" t="n"/>
    </row>
    <row r="37">
      <c r="A37" s="6" t="n"/>
      <c r="B37" s="7" t="n"/>
      <c r="C37" s="7" t="n"/>
      <c r="D37" s="8" t="n"/>
      <c r="E37" s="7" t="n"/>
      <c r="F37" s="7" t="n"/>
    </row>
    <row r="38">
      <c r="A38" s="6" t="n"/>
      <c r="B38" s="7" t="n"/>
      <c r="C38" s="7" t="n"/>
      <c r="D38" s="8" t="n"/>
      <c r="E38" s="7" t="n"/>
      <c r="F38" s="7" t="n"/>
    </row>
    <row r="39">
      <c r="A39" s="6" t="n"/>
      <c r="B39" s="7" t="n"/>
      <c r="C39" s="7" t="n"/>
      <c r="D39" s="8" t="n"/>
      <c r="E39" s="7" t="n"/>
      <c r="F39" s="7" t="n"/>
    </row>
    <row r="40">
      <c r="A40" s="6" t="n"/>
      <c r="B40" s="7" t="n"/>
      <c r="C40" s="7" t="n"/>
      <c r="D40" s="8" t="n"/>
      <c r="E40" s="7" t="n"/>
      <c r="F40" s="7" t="n"/>
    </row>
    <row r="41">
      <c r="A41" s="6" t="n"/>
      <c r="B41" s="7" t="n"/>
      <c r="C41" s="7" t="n"/>
      <c r="D41" s="8" t="n"/>
      <c r="E41" s="7" t="n"/>
      <c r="F41" s="7" t="n"/>
    </row>
    <row r="42">
      <c r="A42" s="6" t="n"/>
      <c r="B42" s="7" t="n"/>
      <c r="C42" s="7" t="n"/>
      <c r="D42" s="8" t="n"/>
      <c r="E42" s="7" t="n"/>
      <c r="F42" s="7" t="n"/>
    </row>
    <row r="43">
      <c r="A43" s="6" t="n"/>
      <c r="B43" s="7" t="n"/>
      <c r="C43" s="7" t="n"/>
      <c r="D43" s="8" t="n"/>
      <c r="E43" s="7" t="n"/>
      <c r="F43" s="7" t="n"/>
    </row>
    <row r="44">
      <c r="A44" s="6" t="n"/>
      <c r="B44" s="7" t="n"/>
      <c r="C44" s="7" t="n"/>
      <c r="D44" s="8" t="n"/>
      <c r="E44" s="7" t="n"/>
      <c r="F44" s="7" t="n"/>
    </row>
    <row r="45">
      <c r="A45" s="6" t="n"/>
      <c r="B45" s="7" t="n"/>
      <c r="C45" s="7" t="n"/>
      <c r="D45" s="8" t="n"/>
      <c r="E45" s="7" t="n"/>
      <c r="F45" s="7" t="n"/>
    </row>
    <row r="46">
      <c r="A46" s="6" t="n"/>
      <c r="B46" s="7" t="n"/>
      <c r="C46" s="7" t="n"/>
      <c r="D46" s="8" t="n"/>
      <c r="E46" s="7" t="n"/>
      <c r="F46" s="7" t="n"/>
    </row>
    <row r="47">
      <c r="A47" s="6" t="n"/>
      <c r="B47" s="7" t="n"/>
      <c r="C47" s="7" t="n"/>
      <c r="D47" s="8" t="n"/>
      <c r="E47" s="7" t="n"/>
      <c r="F47" s="7" t="n"/>
    </row>
    <row r="48">
      <c r="A48" s="6" t="n"/>
      <c r="B48" s="7" t="n"/>
      <c r="C48" s="7" t="n"/>
      <c r="D48" s="8" t="n"/>
      <c r="E48" s="7" t="n"/>
      <c r="F48" s="7" t="n"/>
    </row>
    <row r="49">
      <c r="A49" s="6" t="n"/>
      <c r="B49" s="7" t="n"/>
      <c r="C49" s="7" t="n"/>
      <c r="D49" s="8" t="n"/>
      <c r="E49" s="7" t="n"/>
      <c r="F49" s="7" t="n"/>
    </row>
    <row r="50">
      <c r="A50" s="6" t="n"/>
      <c r="B50" s="7" t="n"/>
      <c r="C50" s="7" t="n"/>
      <c r="D50" s="8" t="n"/>
      <c r="E50" s="7" t="n"/>
      <c r="F50" s="7" t="n"/>
    </row>
    <row r="51">
      <c r="A51" s="6" t="n"/>
      <c r="B51" s="7" t="n"/>
      <c r="C51" s="7" t="n"/>
      <c r="D51" s="8" t="n"/>
      <c r="E51" s="7" t="n"/>
      <c r="F51" s="7" t="n"/>
    </row>
    <row r="52">
      <c r="A52" s="6" t="n"/>
      <c r="B52" s="7" t="n"/>
      <c r="C52" s="7" t="n"/>
      <c r="D52" s="8" t="n"/>
      <c r="E52" s="7" t="n"/>
      <c r="F52" s="7" t="n"/>
    </row>
    <row r="53">
      <c r="A53" s="6" t="n"/>
      <c r="B53" s="7" t="n"/>
      <c r="C53" s="7" t="n"/>
      <c r="D53" s="8" t="n"/>
      <c r="E53" s="7" t="n"/>
      <c r="F53" s="7" t="n"/>
    </row>
    <row r="54">
      <c r="A54" s="6" t="n"/>
      <c r="B54" s="7" t="n"/>
      <c r="C54" s="7" t="n"/>
      <c r="D54" s="8" t="n"/>
      <c r="E54" s="7" t="n"/>
      <c r="F54" s="7" t="n"/>
    </row>
    <row r="55">
      <c r="A55" s="6" t="n"/>
      <c r="B55" s="7" t="n"/>
      <c r="C55" s="7" t="n"/>
      <c r="D55" s="8" t="n"/>
      <c r="E55" s="7" t="n"/>
      <c r="F55" s="7" t="n"/>
    </row>
    <row r="56">
      <c r="A56" s="6" t="n"/>
      <c r="B56" s="7" t="n"/>
      <c r="C56" s="7" t="n"/>
      <c r="D56" s="8" t="n"/>
      <c r="E56" s="7" t="n"/>
      <c r="F56" s="7" t="n"/>
    </row>
    <row r="57">
      <c r="A57" s="6" t="n"/>
      <c r="B57" s="7" t="n"/>
      <c r="C57" s="7" t="n"/>
      <c r="D57" s="8" t="n"/>
      <c r="E57" s="7" t="n"/>
      <c r="F57" s="7" t="n"/>
    </row>
    <row r="58">
      <c r="A58" s="6" t="n"/>
      <c r="B58" s="7" t="n"/>
      <c r="C58" s="7" t="n"/>
      <c r="D58" s="8" t="n"/>
      <c r="E58" s="7" t="n"/>
      <c r="F58" s="7" t="n"/>
    </row>
    <row r="59">
      <c r="A59" s="6" t="n"/>
      <c r="B59" s="7" t="n"/>
      <c r="C59" s="7" t="n"/>
      <c r="D59" s="8" t="n"/>
      <c r="E59" s="7" t="n"/>
      <c r="F59" s="7" t="n"/>
    </row>
    <row r="60">
      <c r="A60" s="6" t="n"/>
      <c r="B60" s="7" t="n"/>
      <c r="C60" s="7" t="n"/>
      <c r="D60" s="8" t="n"/>
      <c r="E60" s="7" t="n"/>
      <c r="F60" s="7" t="n"/>
    </row>
    <row r="61">
      <c r="A61" s="6" t="n"/>
      <c r="B61" s="7" t="n"/>
      <c r="C61" s="7" t="n"/>
      <c r="D61" s="8" t="n"/>
      <c r="E61" s="7" t="n"/>
      <c r="F61" s="7" t="n"/>
    </row>
  </sheetData>
  <autoFilter ref="A1:F61"/>
  <dataValidations count="1">
    <dataValidation sqref="C2:C61" showDropDown="0" showInputMessage="0" showErrorMessage="0" allowBlank="1" type="list">
      <formula1>"Deposit,Monthly Subscription,Refund Out,Credit Applied"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6" customWidth="1" min="5" max="5"/>
    <col width="12" customWidth="1" min="6" max="6"/>
    <col width="14" customWidth="1" min="7" max="7"/>
    <col width="16" customWidth="1" min="8" max="8"/>
    <col width="14" customWidth="1" min="9" max="9"/>
    <col width="30" customWidth="1" min="10" max="10"/>
  </cols>
  <sheetData>
    <row r="1" ht="30" customHeight="1">
      <c r="A1" s="5" t="inlineStr">
        <is>
          <t>Month</t>
        </is>
      </c>
      <c r="B1" s="5" t="inlineStr">
        <is>
          <t>Total Revenue (₹)</t>
        </is>
      </c>
      <c r="C1" s="5" t="inlineStr">
        <is>
          <t>Total Expenses (₹)</t>
        </is>
      </c>
      <c r="D1" s="5" t="inlineStr">
        <is>
          <t>Net Cash Position (₹)</t>
        </is>
      </c>
      <c r="E1" s="5" t="inlineStr">
        <is>
          <t>Active Users (start)</t>
        </is>
      </c>
      <c r="F1" s="5" t="inlineStr">
        <is>
          <t>New Users</t>
        </is>
      </c>
      <c r="G1" s="5" t="inlineStr">
        <is>
          <t>Churned Users</t>
        </is>
      </c>
      <c r="H1" s="5" t="inlineStr">
        <is>
          <t>Active Users (end)</t>
        </is>
      </c>
      <c r="I1" s="5" t="inlineStr">
        <is>
          <t>MRR (₹)</t>
        </is>
      </c>
      <c r="J1" s="5" t="inlineStr">
        <is>
          <t>Notes</t>
        </is>
      </c>
    </row>
    <row r="2">
      <c r="A2" s="9" t="n"/>
      <c r="B2" s="10">
        <f>IF(A2="","",SUMIFS('4. Revenue'!$D:$D,'4. Revenue'!$A:$A,"&gt;="&amp;A2,'4. Revenue'!$A:$A,"&lt;"&amp;EDATE(A2,1)))</f>
        <v/>
      </c>
      <c r="C2" s="10">
        <f>IF(A2="","",SUMIFS('1. Expenses'!$D:$D,'1. Expenses'!$A:$A,"&gt;="&amp;A2,'1. Expenses'!$A:$A,"&lt;"&amp;EDATE(A2,1))+SUMIFS('2. API &amp; Infra Costs'!$F:$F,'2. API &amp; Infra Costs'!$A:$A,"&gt;="&amp;A2,'2. API &amp; Infra Costs'!$A:$A,"&lt;"&amp;EDATE(A2,1)))</f>
        <v/>
      </c>
      <c r="D2" s="8">
        <f>IF(A2="","",B2-C2)</f>
        <v/>
      </c>
      <c r="E2" s="7" t="n"/>
      <c r="F2" s="7" t="n"/>
      <c r="G2" s="7" t="n"/>
      <c r="H2" s="7">
        <f>IF(A2="","",E2+F2-G2)</f>
        <v/>
      </c>
      <c r="I2" s="10">
        <f>IF(A2="","",SUMIFS('4. Revenue'!$D:$D,'4. Revenue'!$A:$A,"&gt;="&amp;A2,'4. Revenue'!$A:$A,"&lt;"&amp;EDATE(A2,1),'4. Revenue'!$C:$C,"Monthly Subscription"))</f>
        <v/>
      </c>
      <c r="J2" s="7" t="n"/>
    </row>
    <row r="3">
      <c r="A3" s="9" t="n"/>
      <c r="B3" s="10">
        <f>IF(A3="","",SUMIFS('4. Revenue'!$D:$D,'4. Revenue'!$A:$A,"&gt;="&amp;A3,'4. Revenue'!$A:$A,"&lt;"&amp;EDATE(A3,1)))</f>
        <v/>
      </c>
      <c r="C3" s="10">
        <f>IF(A3="","",SUMIFS('1. Expenses'!$D:$D,'1. Expenses'!$A:$A,"&gt;="&amp;A3,'1. Expenses'!$A:$A,"&lt;"&amp;EDATE(A3,1))+SUMIFS('2. API &amp; Infra Costs'!$F:$F,'2. API &amp; Infra Costs'!$A:$A,"&gt;="&amp;A3,'2. API &amp; Infra Costs'!$A:$A,"&lt;"&amp;EDATE(A3,1)))</f>
        <v/>
      </c>
      <c r="D3" s="8">
        <f>IF(A3="","",B3-C3)</f>
        <v/>
      </c>
      <c r="E3" s="7" t="n"/>
      <c r="F3" s="7" t="n"/>
      <c r="G3" s="7" t="n"/>
      <c r="H3" s="7">
        <f>IF(A3="","",E3+F3-G3)</f>
        <v/>
      </c>
      <c r="I3" s="10">
        <f>IF(A3="","",SUMIFS('4. Revenue'!$D:$D,'4. Revenue'!$A:$A,"&gt;="&amp;A3,'4. Revenue'!$A:$A,"&lt;"&amp;EDATE(A3,1),'4. Revenue'!$C:$C,"Monthly Subscription"))</f>
        <v/>
      </c>
      <c r="J3" s="7" t="n"/>
    </row>
    <row r="4">
      <c r="A4" s="9" t="n"/>
      <c r="B4" s="10">
        <f>IF(A4="","",SUMIFS('4. Revenue'!$D:$D,'4. Revenue'!$A:$A,"&gt;="&amp;A4,'4. Revenue'!$A:$A,"&lt;"&amp;EDATE(A4,1)))</f>
        <v/>
      </c>
      <c r="C4" s="10">
        <f>IF(A4="","",SUMIFS('1. Expenses'!$D:$D,'1. Expenses'!$A:$A,"&gt;="&amp;A4,'1. Expenses'!$A:$A,"&lt;"&amp;EDATE(A4,1))+SUMIFS('2. API &amp; Infra Costs'!$F:$F,'2. API &amp; Infra Costs'!$A:$A,"&gt;="&amp;A4,'2. API &amp; Infra Costs'!$A:$A,"&lt;"&amp;EDATE(A4,1)))</f>
        <v/>
      </c>
      <c r="D4" s="8">
        <f>IF(A4="","",B4-C4)</f>
        <v/>
      </c>
      <c r="E4" s="7" t="n"/>
      <c r="F4" s="7" t="n"/>
      <c r="G4" s="7" t="n"/>
      <c r="H4" s="7">
        <f>IF(A4="","",E4+F4-G4)</f>
        <v/>
      </c>
      <c r="I4" s="10">
        <f>IF(A4="","",SUMIFS('4. Revenue'!$D:$D,'4. Revenue'!$A:$A,"&gt;="&amp;A4,'4. Revenue'!$A:$A,"&lt;"&amp;EDATE(A4,1),'4. Revenue'!$C:$C,"Monthly Subscription"))</f>
        <v/>
      </c>
      <c r="J4" s="7" t="n"/>
    </row>
    <row r="5">
      <c r="A5" s="9" t="n"/>
      <c r="B5" s="10">
        <f>IF(A5="","",SUMIFS('4. Revenue'!$D:$D,'4. Revenue'!$A:$A,"&gt;="&amp;A5,'4. Revenue'!$A:$A,"&lt;"&amp;EDATE(A5,1)))</f>
        <v/>
      </c>
      <c r="C5" s="10">
        <f>IF(A5="","",SUMIFS('1. Expenses'!$D:$D,'1. Expenses'!$A:$A,"&gt;="&amp;A5,'1. Expenses'!$A:$A,"&lt;"&amp;EDATE(A5,1))+SUMIFS('2. API &amp; Infra Costs'!$F:$F,'2. API &amp; Infra Costs'!$A:$A,"&gt;="&amp;A5,'2. API &amp; Infra Costs'!$A:$A,"&lt;"&amp;EDATE(A5,1)))</f>
        <v/>
      </c>
      <c r="D5" s="8">
        <f>IF(A5="","",B5-C5)</f>
        <v/>
      </c>
      <c r="E5" s="7" t="n"/>
      <c r="F5" s="7" t="n"/>
      <c r="G5" s="7" t="n"/>
      <c r="H5" s="7">
        <f>IF(A5="","",E5+F5-G5)</f>
        <v/>
      </c>
      <c r="I5" s="10">
        <f>IF(A5="","",SUMIFS('4. Revenue'!$D:$D,'4. Revenue'!$A:$A,"&gt;="&amp;A5,'4. Revenue'!$A:$A,"&lt;"&amp;EDATE(A5,1),'4. Revenue'!$C:$C,"Monthly Subscription"))</f>
        <v/>
      </c>
      <c r="J5" s="7" t="n"/>
    </row>
    <row r="6">
      <c r="A6" s="9" t="n"/>
      <c r="B6" s="10">
        <f>IF(A6="","",SUMIFS('4. Revenue'!$D:$D,'4. Revenue'!$A:$A,"&gt;="&amp;A6,'4. Revenue'!$A:$A,"&lt;"&amp;EDATE(A6,1)))</f>
        <v/>
      </c>
      <c r="C6" s="10">
        <f>IF(A6="","",SUMIFS('1. Expenses'!$D:$D,'1. Expenses'!$A:$A,"&gt;="&amp;A6,'1. Expenses'!$A:$A,"&lt;"&amp;EDATE(A6,1))+SUMIFS('2. API &amp; Infra Costs'!$F:$F,'2. API &amp; Infra Costs'!$A:$A,"&gt;="&amp;A6,'2. API &amp; Infra Costs'!$A:$A,"&lt;"&amp;EDATE(A6,1)))</f>
        <v/>
      </c>
      <c r="D6" s="8">
        <f>IF(A6="","",B6-C6)</f>
        <v/>
      </c>
      <c r="E6" s="7" t="n"/>
      <c r="F6" s="7" t="n"/>
      <c r="G6" s="7" t="n"/>
      <c r="H6" s="7">
        <f>IF(A6="","",E6+F6-G6)</f>
        <v/>
      </c>
      <c r="I6" s="10">
        <f>IF(A6="","",SUMIFS('4. Revenue'!$D:$D,'4. Revenue'!$A:$A,"&gt;="&amp;A6,'4. Revenue'!$A:$A,"&lt;"&amp;EDATE(A6,1),'4. Revenue'!$C:$C,"Monthly Subscription"))</f>
        <v/>
      </c>
      <c r="J6" s="7" t="n"/>
    </row>
    <row r="7">
      <c r="A7" s="9" t="n"/>
      <c r="B7" s="10">
        <f>IF(A7="","",SUMIFS('4. Revenue'!$D:$D,'4. Revenue'!$A:$A,"&gt;="&amp;A7,'4. Revenue'!$A:$A,"&lt;"&amp;EDATE(A7,1)))</f>
        <v/>
      </c>
      <c r="C7" s="10">
        <f>IF(A7="","",SUMIFS('1. Expenses'!$D:$D,'1. Expenses'!$A:$A,"&gt;="&amp;A7,'1. Expenses'!$A:$A,"&lt;"&amp;EDATE(A7,1))+SUMIFS('2. API &amp; Infra Costs'!$F:$F,'2. API &amp; Infra Costs'!$A:$A,"&gt;="&amp;A7,'2. API &amp; Infra Costs'!$A:$A,"&lt;"&amp;EDATE(A7,1)))</f>
        <v/>
      </c>
      <c r="D7" s="8">
        <f>IF(A7="","",B7-C7)</f>
        <v/>
      </c>
      <c r="E7" s="7" t="n"/>
      <c r="F7" s="7" t="n"/>
      <c r="G7" s="7" t="n"/>
      <c r="H7" s="7">
        <f>IF(A7="","",E7+F7-G7)</f>
        <v/>
      </c>
      <c r="I7" s="10">
        <f>IF(A7="","",SUMIFS('4. Revenue'!$D:$D,'4. Revenue'!$A:$A,"&gt;="&amp;A7,'4. Revenue'!$A:$A,"&lt;"&amp;EDATE(A7,1),'4. Revenue'!$C:$C,"Monthly Subscription"))</f>
        <v/>
      </c>
      <c r="J7" s="7" t="n"/>
    </row>
    <row r="8">
      <c r="A8" s="9" t="n"/>
      <c r="B8" s="10">
        <f>IF(A8="","",SUMIFS('4. Revenue'!$D:$D,'4. Revenue'!$A:$A,"&gt;="&amp;A8,'4. Revenue'!$A:$A,"&lt;"&amp;EDATE(A8,1)))</f>
        <v/>
      </c>
      <c r="C8" s="10">
        <f>IF(A8="","",SUMIFS('1. Expenses'!$D:$D,'1. Expenses'!$A:$A,"&gt;="&amp;A8,'1. Expenses'!$A:$A,"&lt;"&amp;EDATE(A8,1))+SUMIFS('2. API &amp; Infra Costs'!$F:$F,'2. API &amp; Infra Costs'!$A:$A,"&gt;="&amp;A8,'2. API &amp; Infra Costs'!$A:$A,"&lt;"&amp;EDATE(A8,1)))</f>
        <v/>
      </c>
      <c r="D8" s="8">
        <f>IF(A8="","",B8-C8)</f>
        <v/>
      </c>
      <c r="E8" s="7" t="n"/>
      <c r="F8" s="7" t="n"/>
      <c r="G8" s="7" t="n"/>
      <c r="H8" s="7">
        <f>IF(A8="","",E8+F8-G8)</f>
        <v/>
      </c>
      <c r="I8" s="10">
        <f>IF(A8="","",SUMIFS('4. Revenue'!$D:$D,'4. Revenue'!$A:$A,"&gt;="&amp;A8,'4. Revenue'!$A:$A,"&lt;"&amp;EDATE(A8,1),'4. Revenue'!$C:$C,"Monthly Subscription"))</f>
        <v/>
      </c>
      <c r="J8" s="7" t="n"/>
    </row>
    <row r="9">
      <c r="A9" s="9" t="n"/>
      <c r="B9" s="10">
        <f>IF(A9="","",SUMIFS('4. Revenue'!$D:$D,'4. Revenue'!$A:$A,"&gt;="&amp;A9,'4. Revenue'!$A:$A,"&lt;"&amp;EDATE(A9,1)))</f>
        <v/>
      </c>
      <c r="C9" s="10">
        <f>IF(A9="","",SUMIFS('1. Expenses'!$D:$D,'1. Expenses'!$A:$A,"&gt;="&amp;A9,'1. Expenses'!$A:$A,"&lt;"&amp;EDATE(A9,1))+SUMIFS('2. API &amp; Infra Costs'!$F:$F,'2. API &amp; Infra Costs'!$A:$A,"&gt;="&amp;A9,'2. API &amp; Infra Costs'!$A:$A,"&lt;"&amp;EDATE(A9,1)))</f>
        <v/>
      </c>
      <c r="D9" s="8">
        <f>IF(A9="","",B9-C9)</f>
        <v/>
      </c>
      <c r="E9" s="7" t="n"/>
      <c r="F9" s="7" t="n"/>
      <c r="G9" s="7" t="n"/>
      <c r="H9" s="7">
        <f>IF(A9="","",E9+F9-G9)</f>
        <v/>
      </c>
      <c r="I9" s="10">
        <f>IF(A9="","",SUMIFS('4. Revenue'!$D:$D,'4. Revenue'!$A:$A,"&gt;="&amp;A9,'4. Revenue'!$A:$A,"&lt;"&amp;EDATE(A9,1),'4. Revenue'!$C:$C,"Monthly Subscription"))</f>
        <v/>
      </c>
      <c r="J9" s="7" t="n"/>
    </row>
    <row r="10">
      <c r="A10" s="9" t="n"/>
      <c r="B10" s="10">
        <f>IF(A10="","",SUMIFS('4. Revenue'!$D:$D,'4. Revenue'!$A:$A,"&gt;="&amp;A10,'4. Revenue'!$A:$A,"&lt;"&amp;EDATE(A10,1)))</f>
        <v/>
      </c>
      <c r="C10" s="10">
        <f>IF(A10="","",SUMIFS('1. Expenses'!$D:$D,'1. Expenses'!$A:$A,"&gt;="&amp;A10,'1. Expenses'!$A:$A,"&lt;"&amp;EDATE(A10,1))+SUMIFS('2. API &amp; Infra Costs'!$F:$F,'2. API &amp; Infra Costs'!$A:$A,"&gt;="&amp;A10,'2. API &amp; Infra Costs'!$A:$A,"&lt;"&amp;EDATE(A10,1)))</f>
        <v/>
      </c>
      <c r="D10" s="8">
        <f>IF(A10="","",B10-C10)</f>
        <v/>
      </c>
      <c r="E10" s="7" t="n"/>
      <c r="F10" s="7" t="n"/>
      <c r="G10" s="7" t="n"/>
      <c r="H10" s="7">
        <f>IF(A10="","",E10+F10-G10)</f>
        <v/>
      </c>
      <c r="I10" s="10">
        <f>IF(A10="","",SUMIFS('4. Revenue'!$D:$D,'4. Revenue'!$A:$A,"&gt;="&amp;A10,'4. Revenue'!$A:$A,"&lt;"&amp;EDATE(A10,1),'4. Revenue'!$C:$C,"Monthly Subscription"))</f>
        <v/>
      </c>
      <c r="J10" s="7" t="n"/>
    </row>
    <row r="11">
      <c r="A11" s="9" t="n"/>
      <c r="B11" s="10">
        <f>IF(A11="","",SUMIFS('4. Revenue'!$D:$D,'4. Revenue'!$A:$A,"&gt;="&amp;A11,'4. Revenue'!$A:$A,"&lt;"&amp;EDATE(A11,1)))</f>
        <v/>
      </c>
      <c r="C11" s="10">
        <f>IF(A11="","",SUMIFS('1. Expenses'!$D:$D,'1. Expenses'!$A:$A,"&gt;="&amp;A11,'1. Expenses'!$A:$A,"&lt;"&amp;EDATE(A11,1))+SUMIFS('2. API &amp; Infra Costs'!$F:$F,'2. API &amp; Infra Costs'!$A:$A,"&gt;="&amp;A11,'2. API &amp; Infra Costs'!$A:$A,"&lt;"&amp;EDATE(A11,1)))</f>
        <v/>
      </c>
      <c r="D11" s="8">
        <f>IF(A11="","",B11-C11)</f>
        <v/>
      </c>
      <c r="E11" s="7" t="n"/>
      <c r="F11" s="7" t="n"/>
      <c r="G11" s="7" t="n"/>
      <c r="H11" s="7">
        <f>IF(A11="","",E11+F11-G11)</f>
        <v/>
      </c>
      <c r="I11" s="10">
        <f>IF(A11="","",SUMIFS('4. Revenue'!$D:$D,'4. Revenue'!$A:$A,"&gt;="&amp;A11,'4. Revenue'!$A:$A,"&lt;"&amp;EDATE(A11,1),'4. Revenue'!$C:$C,"Monthly Subscription"))</f>
        <v/>
      </c>
      <c r="J11" s="7" t="n"/>
    </row>
    <row r="12">
      <c r="A12" s="9" t="n"/>
      <c r="B12" s="10">
        <f>IF(A12="","",SUMIFS('4. Revenue'!$D:$D,'4. Revenue'!$A:$A,"&gt;="&amp;A12,'4. Revenue'!$A:$A,"&lt;"&amp;EDATE(A12,1)))</f>
        <v/>
      </c>
      <c r="C12" s="10">
        <f>IF(A12="","",SUMIFS('1. Expenses'!$D:$D,'1. Expenses'!$A:$A,"&gt;="&amp;A12,'1. Expenses'!$A:$A,"&lt;"&amp;EDATE(A12,1))+SUMIFS('2. API &amp; Infra Costs'!$F:$F,'2. API &amp; Infra Costs'!$A:$A,"&gt;="&amp;A12,'2. API &amp; Infra Costs'!$A:$A,"&lt;"&amp;EDATE(A12,1)))</f>
        <v/>
      </c>
      <c r="D12" s="8">
        <f>IF(A12="","",B12-C12)</f>
        <v/>
      </c>
      <c r="E12" s="7" t="n"/>
      <c r="F12" s="7" t="n"/>
      <c r="G12" s="7" t="n"/>
      <c r="H12" s="7">
        <f>IF(A12="","",E12+F12-G12)</f>
        <v/>
      </c>
      <c r="I12" s="10">
        <f>IF(A12="","",SUMIFS('4. Revenue'!$D:$D,'4. Revenue'!$A:$A,"&gt;="&amp;A12,'4. Revenue'!$A:$A,"&lt;"&amp;EDATE(A12,1),'4. Revenue'!$C:$C,"Monthly Subscription"))</f>
        <v/>
      </c>
      <c r="J12" s="7" t="n"/>
    </row>
    <row r="13">
      <c r="A13" s="9" t="n"/>
      <c r="B13" s="10">
        <f>IF(A13="","",SUMIFS('4. Revenue'!$D:$D,'4. Revenue'!$A:$A,"&gt;="&amp;A13,'4. Revenue'!$A:$A,"&lt;"&amp;EDATE(A13,1)))</f>
        <v/>
      </c>
      <c r="C13" s="10">
        <f>IF(A13="","",SUMIFS('1. Expenses'!$D:$D,'1. Expenses'!$A:$A,"&gt;="&amp;A13,'1. Expenses'!$A:$A,"&lt;"&amp;EDATE(A13,1))+SUMIFS('2. API &amp; Infra Costs'!$F:$F,'2. API &amp; Infra Costs'!$A:$A,"&gt;="&amp;A13,'2. API &amp; Infra Costs'!$A:$A,"&lt;"&amp;EDATE(A13,1)))</f>
        <v/>
      </c>
      <c r="D13" s="8">
        <f>IF(A13="","",B13-C13)</f>
        <v/>
      </c>
      <c r="E13" s="7" t="n"/>
      <c r="F13" s="7" t="n"/>
      <c r="G13" s="7" t="n"/>
      <c r="H13" s="7">
        <f>IF(A13="","",E13+F13-G13)</f>
        <v/>
      </c>
      <c r="I13" s="10">
        <f>IF(A13="","",SUMIFS('4. Revenue'!$D:$D,'4. Revenue'!$A:$A,"&gt;="&amp;A13,'4. Revenue'!$A:$A,"&lt;"&amp;EDATE(A13,1),'4. Revenue'!$C:$C,"Monthly Subscription"))</f>
        <v/>
      </c>
      <c r="J13" s="7" t="n"/>
    </row>
    <row r="14">
      <c r="A14" s="9" t="n"/>
      <c r="B14" s="10">
        <f>IF(A14="","",SUMIFS('4. Revenue'!$D:$D,'4. Revenue'!$A:$A,"&gt;="&amp;A14,'4. Revenue'!$A:$A,"&lt;"&amp;EDATE(A14,1)))</f>
        <v/>
      </c>
      <c r="C14" s="10">
        <f>IF(A14="","",SUMIFS('1. Expenses'!$D:$D,'1. Expenses'!$A:$A,"&gt;="&amp;A14,'1. Expenses'!$A:$A,"&lt;"&amp;EDATE(A14,1))+SUMIFS('2. API &amp; Infra Costs'!$F:$F,'2. API &amp; Infra Costs'!$A:$A,"&gt;="&amp;A14,'2. API &amp; Infra Costs'!$A:$A,"&lt;"&amp;EDATE(A14,1)))</f>
        <v/>
      </c>
      <c r="D14" s="8">
        <f>IF(A14="","",B14-C14)</f>
        <v/>
      </c>
      <c r="E14" s="7" t="n"/>
      <c r="F14" s="7" t="n"/>
      <c r="G14" s="7" t="n"/>
      <c r="H14" s="7">
        <f>IF(A14="","",E14+F14-G14)</f>
        <v/>
      </c>
      <c r="I14" s="10">
        <f>IF(A14="","",SUMIFS('4. Revenue'!$D:$D,'4. Revenue'!$A:$A,"&gt;="&amp;A14,'4. Revenue'!$A:$A,"&lt;"&amp;EDATE(A14,1),'4. Revenue'!$C:$C,"Monthly Subscription"))</f>
        <v/>
      </c>
      <c r="J14" s="7" t="n"/>
    </row>
    <row r="15">
      <c r="A15" s="9" t="n"/>
      <c r="B15" s="10">
        <f>IF(A15="","",SUMIFS('4. Revenue'!$D:$D,'4. Revenue'!$A:$A,"&gt;="&amp;A15,'4. Revenue'!$A:$A,"&lt;"&amp;EDATE(A15,1)))</f>
        <v/>
      </c>
      <c r="C15" s="10">
        <f>IF(A15="","",SUMIFS('1. Expenses'!$D:$D,'1. Expenses'!$A:$A,"&gt;="&amp;A15,'1. Expenses'!$A:$A,"&lt;"&amp;EDATE(A15,1))+SUMIFS('2. API &amp; Infra Costs'!$F:$F,'2. API &amp; Infra Costs'!$A:$A,"&gt;="&amp;A15,'2. API &amp; Infra Costs'!$A:$A,"&lt;"&amp;EDATE(A15,1)))</f>
        <v/>
      </c>
      <c r="D15" s="8">
        <f>IF(A15="","",B15-C15)</f>
        <v/>
      </c>
      <c r="E15" s="7" t="n"/>
      <c r="F15" s="7" t="n"/>
      <c r="G15" s="7" t="n"/>
      <c r="H15" s="7">
        <f>IF(A15="","",E15+F15-G15)</f>
        <v/>
      </c>
      <c r="I15" s="10">
        <f>IF(A15="","",SUMIFS('4. Revenue'!$D:$D,'4. Revenue'!$A:$A,"&gt;="&amp;A15,'4. Revenue'!$A:$A,"&lt;"&amp;EDATE(A15,1),'4. Revenue'!$C:$C,"Monthly Subscription"))</f>
        <v/>
      </c>
      <c r="J15" s="7" t="n"/>
    </row>
    <row r="16">
      <c r="A16" s="9" t="n"/>
      <c r="B16" s="10">
        <f>IF(A16="","",SUMIFS('4. Revenue'!$D:$D,'4. Revenue'!$A:$A,"&gt;="&amp;A16,'4. Revenue'!$A:$A,"&lt;"&amp;EDATE(A16,1)))</f>
        <v/>
      </c>
      <c r="C16" s="10">
        <f>IF(A16="","",SUMIFS('1. Expenses'!$D:$D,'1. Expenses'!$A:$A,"&gt;="&amp;A16,'1. Expenses'!$A:$A,"&lt;"&amp;EDATE(A16,1))+SUMIFS('2. API &amp; Infra Costs'!$F:$F,'2. API &amp; Infra Costs'!$A:$A,"&gt;="&amp;A16,'2. API &amp; Infra Costs'!$A:$A,"&lt;"&amp;EDATE(A16,1)))</f>
        <v/>
      </c>
      <c r="D16" s="8">
        <f>IF(A16="","",B16-C16)</f>
        <v/>
      </c>
      <c r="E16" s="7" t="n"/>
      <c r="F16" s="7" t="n"/>
      <c r="G16" s="7" t="n"/>
      <c r="H16" s="7">
        <f>IF(A16="","",E16+F16-G16)</f>
        <v/>
      </c>
      <c r="I16" s="10">
        <f>IF(A16="","",SUMIFS('4. Revenue'!$D:$D,'4. Revenue'!$A:$A,"&gt;="&amp;A16,'4. Revenue'!$A:$A,"&lt;"&amp;EDATE(A16,1),'4. Revenue'!$C:$C,"Monthly Subscription"))</f>
        <v/>
      </c>
      <c r="J16" s="7" t="n"/>
    </row>
    <row r="17">
      <c r="A17" s="9" t="n"/>
      <c r="B17" s="10">
        <f>IF(A17="","",SUMIFS('4. Revenue'!$D:$D,'4. Revenue'!$A:$A,"&gt;="&amp;A17,'4. Revenue'!$A:$A,"&lt;"&amp;EDATE(A17,1)))</f>
        <v/>
      </c>
      <c r="C17" s="10">
        <f>IF(A17="","",SUMIFS('1. Expenses'!$D:$D,'1. Expenses'!$A:$A,"&gt;="&amp;A17,'1. Expenses'!$A:$A,"&lt;"&amp;EDATE(A17,1))+SUMIFS('2. API &amp; Infra Costs'!$F:$F,'2. API &amp; Infra Costs'!$A:$A,"&gt;="&amp;A17,'2. API &amp; Infra Costs'!$A:$A,"&lt;"&amp;EDATE(A17,1)))</f>
        <v/>
      </c>
      <c r="D17" s="8">
        <f>IF(A17="","",B17-C17)</f>
        <v/>
      </c>
      <c r="E17" s="7" t="n"/>
      <c r="F17" s="7" t="n"/>
      <c r="G17" s="7" t="n"/>
      <c r="H17" s="7">
        <f>IF(A17="","",E17+F17-G17)</f>
        <v/>
      </c>
      <c r="I17" s="10">
        <f>IF(A17="","",SUMIFS('4. Revenue'!$D:$D,'4. Revenue'!$A:$A,"&gt;="&amp;A17,'4. Revenue'!$A:$A,"&lt;"&amp;EDATE(A17,1),'4. Revenue'!$C:$C,"Monthly Subscription"))</f>
        <v/>
      </c>
      <c r="J17" s="7" t="n"/>
    </row>
    <row r="18">
      <c r="A18" s="9" t="n"/>
      <c r="B18" s="10">
        <f>IF(A18="","",SUMIFS('4. Revenue'!$D:$D,'4. Revenue'!$A:$A,"&gt;="&amp;A18,'4. Revenue'!$A:$A,"&lt;"&amp;EDATE(A18,1)))</f>
        <v/>
      </c>
      <c r="C18" s="10">
        <f>IF(A18="","",SUMIFS('1. Expenses'!$D:$D,'1. Expenses'!$A:$A,"&gt;="&amp;A18,'1. Expenses'!$A:$A,"&lt;"&amp;EDATE(A18,1))+SUMIFS('2. API &amp; Infra Costs'!$F:$F,'2. API &amp; Infra Costs'!$A:$A,"&gt;="&amp;A18,'2. API &amp; Infra Costs'!$A:$A,"&lt;"&amp;EDATE(A18,1)))</f>
        <v/>
      </c>
      <c r="D18" s="8">
        <f>IF(A18="","",B18-C18)</f>
        <v/>
      </c>
      <c r="E18" s="7" t="n"/>
      <c r="F18" s="7" t="n"/>
      <c r="G18" s="7" t="n"/>
      <c r="H18" s="7">
        <f>IF(A18="","",E18+F18-G18)</f>
        <v/>
      </c>
      <c r="I18" s="10">
        <f>IF(A18="","",SUMIFS('4. Revenue'!$D:$D,'4. Revenue'!$A:$A,"&gt;="&amp;A18,'4. Revenue'!$A:$A,"&lt;"&amp;EDATE(A18,1),'4. Revenue'!$C:$C,"Monthly Subscription"))</f>
        <v/>
      </c>
      <c r="J18" s="7" t="n"/>
    </row>
    <row r="19">
      <c r="A19" s="9" t="n"/>
      <c r="B19" s="10">
        <f>IF(A19="","",SUMIFS('4. Revenue'!$D:$D,'4. Revenue'!$A:$A,"&gt;="&amp;A19,'4. Revenue'!$A:$A,"&lt;"&amp;EDATE(A19,1)))</f>
        <v/>
      </c>
      <c r="C19" s="10">
        <f>IF(A19="","",SUMIFS('1. Expenses'!$D:$D,'1. Expenses'!$A:$A,"&gt;="&amp;A19,'1. Expenses'!$A:$A,"&lt;"&amp;EDATE(A19,1))+SUMIFS('2. API &amp; Infra Costs'!$F:$F,'2. API &amp; Infra Costs'!$A:$A,"&gt;="&amp;A19,'2. API &amp; Infra Costs'!$A:$A,"&lt;"&amp;EDATE(A19,1)))</f>
        <v/>
      </c>
      <c r="D19" s="8">
        <f>IF(A19="","",B19-C19)</f>
        <v/>
      </c>
      <c r="E19" s="7" t="n"/>
      <c r="F19" s="7" t="n"/>
      <c r="G19" s="7" t="n"/>
      <c r="H19" s="7">
        <f>IF(A19="","",E19+F19-G19)</f>
        <v/>
      </c>
      <c r="I19" s="10">
        <f>IF(A19="","",SUMIFS('4. Revenue'!$D:$D,'4. Revenue'!$A:$A,"&gt;="&amp;A19,'4. Revenue'!$A:$A,"&lt;"&amp;EDATE(A19,1),'4. Revenue'!$C:$C,"Monthly Subscription"))</f>
        <v/>
      </c>
      <c r="J19" s="7" t="n"/>
    </row>
    <row r="20">
      <c r="A20" s="9" t="n"/>
      <c r="B20" s="10">
        <f>IF(A20="","",SUMIFS('4. Revenue'!$D:$D,'4. Revenue'!$A:$A,"&gt;="&amp;A20,'4. Revenue'!$A:$A,"&lt;"&amp;EDATE(A20,1)))</f>
        <v/>
      </c>
      <c r="C20" s="10">
        <f>IF(A20="","",SUMIFS('1. Expenses'!$D:$D,'1. Expenses'!$A:$A,"&gt;="&amp;A20,'1. Expenses'!$A:$A,"&lt;"&amp;EDATE(A20,1))+SUMIFS('2. API &amp; Infra Costs'!$F:$F,'2. API &amp; Infra Costs'!$A:$A,"&gt;="&amp;A20,'2. API &amp; Infra Costs'!$A:$A,"&lt;"&amp;EDATE(A20,1)))</f>
        <v/>
      </c>
      <c r="D20" s="8">
        <f>IF(A20="","",B20-C20)</f>
        <v/>
      </c>
      <c r="E20" s="7" t="n"/>
      <c r="F20" s="7" t="n"/>
      <c r="G20" s="7" t="n"/>
      <c r="H20" s="7">
        <f>IF(A20="","",E20+F20-G20)</f>
        <v/>
      </c>
      <c r="I20" s="10">
        <f>IF(A20="","",SUMIFS('4. Revenue'!$D:$D,'4. Revenue'!$A:$A,"&gt;="&amp;A20,'4. Revenue'!$A:$A,"&lt;"&amp;EDATE(A20,1),'4. Revenue'!$C:$C,"Monthly Subscription"))</f>
        <v/>
      </c>
      <c r="J20" s="7" t="n"/>
    </row>
    <row r="21">
      <c r="A21" s="9" t="n"/>
      <c r="B21" s="10">
        <f>IF(A21="","",SUMIFS('4. Revenue'!$D:$D,'4. Revenue'!$A:$A,"&gt;="&amp;A21,'4. Revenue'!$A:$A,"&lt;"&amp;EDATE(A21,1)))</f>
        <v/>
      </c>
      <c r="C21" s="10">
        <f>IF(A21="","",SUMIFS('1. Expenses'!$D:$D,'1. Expenses'!$A:$A,"&gt;="&amp;A21,'1. Expenses'!$A:$A,"&lt;"&amp;EDATE(A21,1))+SUMIFS('2. API &amp; Infra Costs'!$F:$F,'2. API &amp; Infra Costs'!$A:$A,"&gt;="&amp;A21,'2. API &amp; Infra Costs'!$A:$A,"&lt;"&amp;EDATE(A21,1)))</f>
        <v/>
      </c>
      <c r="D21" s="8">
        <f>IF(A21="","",B21-C21)</f>
        <v/>
      </c>
      <c r="E21" s="7" t="n"/>
      <c r="F21" s="7" t="n"/>
      <c r="G21" s="7" t="n"/>
      <c r="H21" s="7">
        <f>IF(A21="","",E21+F21-G21)</f>
        <v/>
      </c>
      <c r="I21" s="10">
        <f>IF(A21="","",SUMIFS('4. Revenue'!$D:$D,'4. Revenue'!$A:$A,"&gt;="&amp;A21,'4. Revenue'!$A:$A,"&lt;"&amp;EDATE(A21,1),'4. Revenue'!$C:$C,"Monthly Subscription"))</f>
        <v/>
      </c>
      <c r="J21" s="7" t="n"/>
    </row>
    <row r="22">
      <c r="A22" s="9" t="n"/>
      <c r="B22" s="10">
        <f>IF(A22="","",SUMIFS('4. Revenue'!$D:$D,'4. Revenue'!$A:$A,"&gt;="&amp;A22,'4. Revenue'!$A:$A,"&lt;"&amp;EDATE(A22,1)))</f>
        <v/>
      </c>
      <c r="C22" s="10">
        <f>IF(A22="","",SUMIFS('1. Expenses'!$D:$D,'1. Expenses'!$A:$A,"&gt;="&amp;A22,'1. Expenses'!$A:$A,"&lt;"&amp;EDATE(A22,1))+SUMIFS('2. API &amp; Infra Costs'!$F:$F,'2. API &amp; Infra Costs'!$A:$A,"&gt;="&amp;A22,'2. API &amp; Infra Costs'!$A:$A,"&lt;"&amp;EDATE(A22,1)))</f>
        <v/>
      </c>
      <c r="D22" s="8">
        <f>IF(A22="","",B22-C22)</f>
        <v/>
      </c>
      <c r="E22" s="7" t="n"/>
      <c r="F22" s="7" t="n"/>
      <c r="G22" s="7" t="n"/>
      <c r="H22" s="7">
        <f>IF(A22="","",E22+F22-G22)</f>
        <v/>
      </c>
      <c r="I22" s="10">
        <f>IF(A22="","",SUMIFS('4. Revenue'!$D:$D,'4. Revenue'!$A:$A,"&gt;="&amp;A22,'4. Revenue'!$A:$A,"&lt;"&amp;EDATE(A22,1),'4. Revenue'!$C:$C,"Monthly Subscription"))</f>
        <v/>
      </c>
      <c r="J22" s="7" t="n"/>
    </row>
    <row r="23">
      <c r="A23" s="9" t="n"/>
      <c r="B23" s="10">
        <f>IF(A23="","",SUMIFS('4. Revenue'!$D:$D,'4. Revenue'!$A:$A,"&gt;="&amp;A23,'4. Revenue'!$A:$A,"&lt;"&amp;EDATE(A23,1)))</f>
        <v/>
      </c>
      <c r="C23" s="10">
        <f>IF(A23="","",SUMIFS('1. Expenses'!$D:$D,'1. Expenses'!$A:$A,"&gt;="&amp;A23,'1. Expenses'!$A:$A,"&lt;"&amp;EDATE(A23,1))+SUMIFS('2. API &amp; Infra Costs'!$F:$F,'2. API &amp; Infra Costs'!$A:$A,"&gt;="&amp;A23,'2. API &amp; Infra Costs'!$A:$A,"&lt;"&amp;EDATE(A23,1)))</f>
        <v/>
      </c>
      <c r="D23" s="8">
        <f>IF(A23="","",B23-C23)</f>
        <v/>
      </c>
      <c r="E23" s="7" t="n"/>
      <c r="F23" s="7" t="n"/>
      <c r="G23" s="7" t="n"/>
      <c r="H23" s="7">
        <f>IF(A23="","",E23+F23-G23)</f>
        <v/>
      </c>
      <c r="I23" s="10">
        <f>IF(A23="","",SUMIFS('4. Revenue'!$D:$D,'4. Revenue'!$A:$A,"&gt;="&amp;A23,'4. Revenue'!$A:$A,"&lt;"&amp;EDATE(A23,1),'4. Revenue'!$C:$C,"Monthly Subscription"))</f>
        <v/>
      </c>
      <c r="J23" s="7" t="n"/>
    </row>
    <row r="24">
      <c r="A24" s="9" t="n"/>
      <c r="B24" s="10">
        <f>IF(A24="","",SUMIFS('4. Revenue'!$D:$D,'4. Revenue'!$A:$A,"&gt;="&amp;A24,'4. Revenue'!$A:$A,"&lt;"&amp;EDATE(A24,1)))</f>
        <v/>
      </c>
      <c r="C24" s="10">
        <f>IF(A24="","",SUMIFS('1. Expenses'!$D:$D,'1. Expenses'!$A:$A,"&gt;="&amp;A24,'1. Expenses'!$A:$A,"&lt;"&amp;EDATE(A24,1))+SUMIFS('2. API &amp; Infra Costs'!$F:$F,'2. API &amp; Infra Costs'!$A:$A,"&gt;="&amp;A24,'2. API &amp; Infra Costs'!$A:$A,"&lt;"&amp;EDATE(A24,1)))</f>
        <v/>
      </c>
      <c r="D24" s="8">
        <f>IF(A24="","",B24-C24)</f>
        <v/>
      </c>
      <c r="E24" s="7" t="n"/>
      <c r="F24" s="7" t="n"/>
      <c r="G24" s="7" t="n"/>
      <c r="H24" s="7">
        <f>IF(A24="","",E24+F24-G24)</f>
        <v/>
      </c>
      <c r="I24" s="10">
        <f>IF(A24="","",SUMIFS('4. Revenue'!$D:$D,'4. Revenue'!$A:$A,"&gt;="&amp;A24,'4. Revenue'!$A:$A,"&lt;"&amp;EDATE(A24,1),'4. Revenue'!$C:$C,"Monthly Subscription"))</f>
        <v/>
      </c>
      <c r="J24" s="7" t="n"/>
    </row>
    <row r="25">
      <c r="A25" s="9" t="n"/>
      <c r="B25" s="10">
        <f>IF(A25="","",SUMIFS('4. Revenue'!$D:$D,'4. Revenue'!$A:$A,"&gt;="&amp;A25,'4. Revenue'!$A:$A,"&lt;"&amp;EDATE(A25,1)))</f>
        <v/>
      </c>
      <c r="C25" s="10">
        <f>IF(A25="","",SUMIFS('1. Expenses'!$D:$D,'1. Expenses'!$A:$A,"&gt;="&amp;A25,'1. Expenses'!$A:$A,"&lt;"&amp;EDATE(A25,1))+SUMIFS('2. API &amp; Infra Costs'!$F:$F,'2. API &amp; Infra Costs'!$A:$A,"&gt;="&amp;A25,'2. API &amp; Infra Costs'!$A:$A,"&lt;"&amp;EDATE(A25,1)))</f>
        <v/>
      </c>
      <c r="D25" s="8">
        <f>IF(A25="","",B25-C25)</f>
        <v/>
      </c>
      <c r="E25" s="7" t="n"/>
      <c r="F25" s="7" t="n"/>
      <c r="G25" s="7" t="n"/>
      <c r="H25" s="7">
        <f>IF(A25="","",E25+F25-G25)</f>
        <v/>
      </c>
      <c r="I25" s="10">
        <f>IF(A25="","",SUMIFS('4. Revenue'!$D:$D,'4. Revenue'!$A:$A,"&gt;="&amp;A25,'4. Revenue'!$A:$A,"&lt;"&amp;EDATE(A25,1),'4. Revenue'!$C:$C,"Monthly Subscription"))</f>
        <v/>
      </c>
      <c r="J25" s="7" t="n"/>
    </row>
    <row r="26">
      <c r="A26" s="9" t="n"/>
      <c r="B26" s="10">
        <f>IF(A26="","",SUMIFS('4. Revenue'!$D:$D,'4. Revenue'!$A:$A,"&gt;="&amp;A26,'4. Revenue'!$A:$A,"&lt;"&amp;EDATE(A26,1)))</f>
        <v/>
      </c>
      <c r="C26" s="10">
        <f>IF(A26="","",SUMIFS('1. Expenses'!$D:$D,'1. Expenses'!$A:$A,"&gt;="&amp;A26,'1. Expenses'!$A:$A,"&lt;"&amp;EDATE(A26,1))+SUMIFS('2. API &amp; Infra Costs'!$F:$F,'2. API &amp; Infra Costs'!$A:$A,"&gt;="&amp;A26,'2. API &amp; Infra Costs'!$A:$A,"&lt;"&amp;EDATE(A26,1)))</f>
        <v/>
      </c>
      <c r="D26" s="8">
        <f>IF(A26="","",B26-C26)</f>
        <v/>
      </c>
      <c r="E26" s="7" t="n"/>
      <c r="F26" s="7" t="n"/>
      <c r="G26" s="7" t="n"/>
      <c r="H26" s="7">
        <f>IF(A26="","",E26+F26-G26)</f>
        <v/>
      </c>
      <c r="I26" s="10">
        <f>IF(A26="","",SUMIFS('4. Revenue'!$D:$D,'4. Revenue'!$A:$A,"&gt;="&amp;A26,'4. Revenue'!$A:$A,"&lt;"&amp;EDATE(A26,1),'4. Revenue'!$C:$C,"Monthly Subscription"))</f>
        <v/>
      </c>
      <c r="J26" s="7" t="n"/>
    </row>
    <row r="27">
      <c r="A27" s="9" t="n"/>
      <c r="B27" s="10">
        <f>IF(A27="","",SUMIFS('4. Revenue'!$D:$D,'4. Revenue'!$A:$A,"&gt;="&amp;A27,'4. Revenue'!$A:$A,"&lt;"&amp;EDATE(A27,1)))</f>
        <v/>
      </c>
      <c r="C27" s="10">
        <f>IF(A27="","",SUMIFS('1. Expenses'!$D:$D,'1. Expenses'!$A:$A,"&gt;="&amp;A27,'1. Expenses'!$A:$A,"&lt;"&amp;EDATE(A27,1))+SUMIFS('2. API &amp; Infra Costs'!$F:$F,'2. API &amp; Infra Costs'!$A:$A,"&gt;="&amp;A27,'2. API &amp; Infra Costs'!$A:$A,"&lt;"&amp;EDATE(A27,1)))</f>
        <v/>
      </c>
      <c r="D27" s="8">
        <f>IF(A27="","",B27-C27)</f>
        <v/>
      </c>
      <c r="E27" s="7" t="n"/>
      <c r="F27" s="7" t="n"/>
      <c r="G27" s="7" t="n"/>
      <c r="H27" s="7">
        <f>IF(A27="","",E27+F27-G27)</f>
        <v/>
      </c>
      <c r="I27" s="10">
        <f>IF(A27="","",SUMIFS('4. Revenue'!$D:$D,'4. Revenue'!$A:$A,"&gt;="&amp;A27,'4. Revenue'!$A:$A,"&lt;"&amp;EDATE(A27,1),'4. Revenue'!$C:$C,"Monthly Subscription"))</f>
        <v/>
      </c>
      <c r="J27" s="7" t="n"/>
    </row>
    <row r="28">
      <c r="A28" s="9" t="n"/>
      <c r="B28" s="10">
        <f>IF(A28="","",SUMIFS('4. Revenue'!$D:$D,'4. Revenue'!$A:$A,"&gt;="&amp;A28,'4. Revenue'!$A:$A,"&lt;"&amp;EDATE(A28,1)))</f>
        <v/>
      </c>
      <c r="C28" s="10">
        <f>IF(A28="","",SUMIFS('1. Expenses'!$D:$D,'1. Expenses'!$A:$A,"&gt;="&amp;A28,'1. Expenses'!$A:$A,"&lt;"&amp;EDATE(A28,1))+SUMIFS('2. API &amp; Infra Costs'!$F:$F,'2. API &amp; Infra Costs'!$A:$A,"&gt;="&amp;A28,'2. API &amp; Infra Costs'!$A:$A,"&lt;"&amp;EDATE(A28,1)))</f>
        <v/>
      </c>
      <c r="D28" s="8">
        <f>IF(A28="","",B28-C28)</f>
        <v/>
      </c>
      <c r="E28" s="7" t="n"/>
      <c r="F28" s="7" t="n"/>
      <c r="G28" s="7" t="n"/>
      <c r="H28" s="7">
        <f>IF(A28="","",E28+F28-G28)</f>
        <v/>
      </c>
      <c r="I28" s="10">
        <f>IF(A28="","",SUMIFS('4. Revenue'!$D:$D,'4. Revenue'!$A:$A,"&gt;="&amp;A28,'4. Revenue'!$A:$A,"&lt;"&amp;EDATE(A28,1),'4. Revenue'!$C:$C,"Monthly Subscription"))</f>
        <v/>
      </c>
      <c r="J28" s="7" t="n"/>
    </row>
    <row r="29">
      <c r="A29" s="9" t="n"/>
      <c r="B29" s="10">
        <f>IF(A29="","",SUMIFS('4. Revenue'!$D:$D,'4. Revenue'!$A:$A,"&gt;="&amp;A29,'4. Revenue'!$A:$A,"&lt;"&amp;EDATE(A29,1)))</f>
        <v/>
      </c>
      <c r="C29" s="10">
        <f>IF(A29="","",SUMIFS('1. Expenses'!$D:$D,'1. Expenses'!$A:$A,"&gt;="&amp;A29,'1. Expenses'!$A:$A,"&lt;"&amp;EDATE(A29,1))+SUMIFS('2. API &amp; Infra Costs'!$F:$F,'2. API &amp; Infra Costs'!$A:$A,"&gt;="&amp;A29,'2. API &amp; Infra Costs'!$A:$A,"&lt;"&amp;EDATE(A29,1)))</f>
        <v/>
      </c>
      <c r="D29" s="8">
        <f>IF(A29="","",B29-C29)</f>
        <v/>
      </c>
      <c r="E29" s="7" t="n"/>
      <c r="F29" s="7" t="n"/>
      <c r="G29" s="7" t="n"/>
      <c r="H29" s="7">
        <f>IF(A29="","",E29+F29-G29)</f>
        <v/>
      </c>
      <c r="I29" s="10">
        <f>IF(A29="","",SUMIFS('4. Revenue'!$D:$D,'4. Revenue'!$A:$A,"&gt;="&amp;A29,'4. Revenue'!$A:$A,"&lt;"&amp;EDATE(A29,1),'4. Revenue'!$C:$C,"Monthly Subscription"))</f>
        <v/>
      </c>
      <c r="J29" s="7" t="n"/>
    </row>
    <row r="30">
      <c r="A30" s="9" t="n"/>
      <c r="B30" s="10">
        <f>IF(A30="","",SUMIFS('4. Revenue'!$D:$D,'4. Revenue'!$A:$A,"&gt;="&amp;A30,'4. Revenue'!$A:$A,"&lt;"&amp;EDATE(A30,1)))</f>
        <v/>
      </c>
      <c r="C30" s="10">
        <f>IF(A30="","",SUMIFS('1. Expenses'!$D:$D,'1. Expenses'!$A:$A,"&gt;="&amp;A30,'1. Expenses'!$A:$A,"&lt;"&amp;EDATE(A30,1))+SUMIFS('2. API &amp; Infra Costs'!$F:$F,'2. API &amp; Infra Costs'!$A:$A,"&gt;="&amp;A30,'2. API &amp; Infra Costs'!$A:$A,"&lt;"&amp;EDATE(A30,1)))</f>
        <v/>
      </c>
      <c r="D30" s="8">
        <f>IF(A30="","",B30-C30)</f>
        <v/>
      </c>
      <c r="E30" s="7" t="n"/>
      <c r="F30" s="7" t="n"/>
      <c r="G30" s="7" t="n"/>
      <c r="H30" s="7">
        <f>IF(A30="","",E30+F30-G30)</f>
        <v/>
      </c>
      <c r="I30" s="10">
        <f>IF(A30="","",SUMIFS('4. Revenue'!$D:$D,'4. Revenue'!$A:$A,"&gt;="&amp;A30,'4. Revenue'!$A:$A,"&lt;"&amp;EDATE(A30,1),'4. Revenue'!$C:$C,"Monthly Subscription"))</f>
        <v/>
      </c>
      <c r="J30" s="7" t="n"/>
    </row>
    <row r="31">
      <c r="A31" s="9" t="n"/>
      <c r="B31" s="10">
        <f>IF(A31="","",SUMIFS('4. Revenue'!$D:$D,'4. Revenue'!$A:$A,"&gt;="&amp;A31,'4. Revenue'!$A:$A,"&lt;"&amp;EDATE(A31,1)))</f>
        <v/>
      </c>
      <c r="C31" s="10">
        <f>IF(A31="","",SUMIFS('1. Expenses'!$D:$D,'1. Expenses'!$A:$A,"&gt;="&amp;A31,'1. Expenses'!$A:$A,"&lt;"&amp;EDATE(A31,1))+SUMIFS('2. API &amp; Infra Costs'!$F:$F,'2. API &amp; Infra Costs'!$A:$A,"&gt;="&amp;A31,'2. API &amp; Infra Costs'!$A:$A,"&lt;"&amp;EDATE(A31,1)))</f>
        <v/>
      </c>
      <c r="D31" s="8">
        <f>IF(A31="","",B31-C31)</f>
        <v/>
      </c>
      <c r="E31" s="7" t="n"/>
      <c r="F31" s="7" t="n"/>
      <c r="G31" s="7" t="n"/>
      <c r="H31" s="7">
        <f>IF(A31="","",E31+F31-G31)</f>
        <v/>
      </c>
      <c r="I31" s="10">
        <f>IF(A31="","",SUMIFS('4. Revenue'!$D:$D,'4. Revenue'!$A:$A,"&gt;="&amp;A31,'4. Revenue'!$A:$A,"&lt;"&amp;EDATE(A31,1),'4. Revenue'!$C:$C,"Monthly Subscription"))</f>
        <v/>
      </c>
      <c r="J31" s="7" t="n"/>
    </row>
    <row r="32">
      <c r="A32" s="9" t="n"/>
      <c r="B32" s="10">
        <f>IF(A32="","",SUMIFS('4. Revenue'!$D:$D,'4. Revenue'!$A:$A,"&gt;="&amp;A32,'4. Revenue'!$A:$A,"&lt;"&amp;EDATE(A32,1)))</f>
        <v/>
      </c>
      <c r="C32" s="10">
        <f>IF(A32="","",SUMIFS('1. Expenses'!$D:$D,'1. Expenses'!$A:$A,"&gt;="&amp;A32,'1. Expenses'!$A:$A,"&lt;"&amp;EDATE(A32,1))+SUMIFS('2. API &amp; Infra Costs'!$F:$F,'2. API &amp; Infra Costs'!$A:$A,"&gt;="&amp;A32,'2. API &amp; Infra Costs'!$A:$A,"&lt;"&amp;EDATE(A32,1)))</f>
        <v/>
      </c>
      <c r="D32" s="8">
        <f>IF(A32="","",B32-C32)</f>
        <v/>
      </c>
      <c r="E32" s="7" t="n"/>
      <c r="F32" s="7" t="n"/>
      <c r="G32" s="7" t="n"/>
      <c r="H32" s="7">
        <f>IF(A32="","",E32+F32-G32)</f>
        <v/>
      </c>
      <c r="I32" s="10">
        <f>IF(A32="","",SUMIFS('4. Revenue'!$D:$D,'4. Revenue'!$A:$A,"&gt;="&amp;A32,'4. Revenue'!$A:$A,"&lt;"&amp;EDATE(A32,1),'4. Revenue'!$C:$C,"Monthly Subscription"))</f>
        <v/>
      </c>
      <c r="J32" s="7" t="n"/>
    </row>
    <row r="33">
      <c r="A33" s="9" t="n"/>
      <c r="B33" s="10">
        <f>IF(A33="","",SUMIFS('4. Revenue'!$D:$D,'4. Revenue'!$A:$A,"&gt;="&amp;A33,'4. Revenue'!$A:$A,"&lt;"&amp;EDATE(A33,1)))</f>
        <v/>
      </c>
      <c r="C33" s="10">
        <f>IF(A33="","",SUMIFS('1. Expenses'!$D:$D,'1. Expenses'!$A:$A,"&gt;="&amp;A33,'1. Expenses'!$A:$A,"&lt;"&amp;EDATE(A33,1))+SUMIFS('2. API &amp; Infra Costs'!$F:$F,'2. API &amp; Infra Costs'!$A:$A,"&gt;="&amp;A33,'2. API &amp; Infra Costs'!$A:$A,"&lt;"&amp;EDATE(A33,1)))</f>
        <v/>
      </c>
      <c r="D33" s="8">
        <f>IF(A33="","",B33-C33)</f>
        <v/>
      </c>
      <c r="E33" s="7" t="n"/>
      <c r="F33" s="7" t="n"/>
      <c r="G33" s="7" t="n"/>
      <c r="H33" s="7">
        <f>IF(A33="","",E33+F33-G33)</f>
        <v/>
      </c>
      <c r="I33" s="10">
        <f>IF(A33="","",SUMIFS('4. Revenue'!$D:$D,'4. Revenue'!$A:$A,"&gt;="&amp;A33,'4. Revenue'!$A:$A,"&lt;"&amp;EDATE(A33,1),'4. Revenue'!$C:$C,"Monthly Subscription"))</f>
        <v/>
      </c>
      <c r="J33" s="7" t="n"/>
    </row>
    <row r="34">
      <c r="A34" s="9" t="n"/>
      <c r="B34" s="10">
        <f>IF(A34="","",SUMIFS('4. Revenue'!$D:$D,'4. Revenue'!$A:$A,"&gt;="&amp;A34,'4. Revenue'!$A:$A,"&lt;"&amp;EDATE(A34,1)))</f>
        <v/>
      </c>
      <c r="C34" s="10">
        <f>IF(A34="","",SUMIFS('1. Expenses'!$D:$D,'1. Expenses'!$A:$A,"&gt;="&amp;A34,'1. Expenses'!$A:$A,"&lt;"&amp;EDATE(A34,1))+SUMIFS('2. API &amp; Infra Costs'!$F:$F,'2. API &amp; Infra Costs'!$A:$A,"&gt;="&amp;A34,'2. API &amp; Infra Costs'!$A:$A,"&lt;"&amp;EDATE(A34,1)))</f>
        <v/>
      </c>
      <c r="D34" s="8">
        <f>IF(A34="","",B34-C34)</f>
        <v/>
      </c>
      <c r="E34" s="7" t="n"/>
      <c r="F34" s="7" t="n"/>
      <c r="G34" s="7" t="n"/>
      <c r="H34" s="7">
        <f>IF(A34="","",E34+F34-G34)</f>
        <v/>
      </c>
      <c r="I34" s="10">
        <f>IF(A34="","",SUMIFS('4. Revenue'!$D:$D,'4. Revenue'!$A:$A,"&gt;="&amp;A34,'4. Revenue'!$A:$A,"&lt;"&amp;EDATE(A34,1),'4. Revenue'!$C:$C,"Monthly Subscription"))</f>
        <v/>
      </c>
      <c r="J34" s="7" t="n"/>
    </row>
    <row r="35">
      <c r="A35" s="9" t="n"/>
      <c r="B35" s="10">
        <f>IF(A35="","",SUMIFS('4. Revenue'!$D:$D,'4. Revenue'!$A:$A,"&gt;="&amp;A35,'4. Revenue'!$A:$A,"&lt;"&amp;EDATE(A35,1)))</f>
        <v/>
      </c>
      <c r="C35" s="10">
        <f>IF(A35="","",SUMIFS('1. Expenses'!$D:$D,'1. Expenses'!$A:$A,"&gt;="&amp;A35,'1. Expenses'!$A:$A,"&lt;"&amp;EDATE(A35,1))+SUMIFS('2. API &amp; Infra Costs'!$F:$F,'2. API &amp; Infra Costs'!$A:$A,"&gt;="&amp;A35,'2. API &amp; Infra Costs'!$A:$A,"&lt;"&amp;EDATE(A35,1)))</f>
        <v/>
      </c>
      <c r="D35" s="8">
        <f>IF(A35="","",B35-C35)</f>
        <v/>
      </c>
      <c r="E35" s="7" t="n"/>
      <c r="F35" s="7" t="n"/>
      <c r="G35" s="7" t="n"/>
      <c r="H35" s="7">
        <f>IF(A35="","",E35+F35-G35)</f>
        <v/>
      </c>
      <c r="I35" s="10">
        <f>IF(A35="","",SUMIFS('4. Revenue'!$D:$D,'4. Revenue'!$A:$A,"&gt;="&amp;A35,'4. Revenue'!$A:$A,"&lt;"&amp;EDATE(A35,1),'4. Revenue'!$C:$C,"Monthly Subscription"))</f>
        <v/>
      </c>
      <c r="J35" s="7" t="n"/>
    </row>
    <row r="36">
      <c r="A36" s="9" t="n"/>
      <c r="B36" s="10">
        <f>IF(A36="","",SUMIFS('4. Revenue'!$D:$D,'4. Revenue'!$A:$A,"&gt;="&amp;A36,'4. Revenue'!$A:$A,"&lt;"&amp;EDATE(A36,1)))</f>
        <v/>
      </c>
      <c r="C36" s="10">
        <f>IF(A36="","",SUMIFS('1. Expenses'!$D:$D,'1. Expenses'!$A:$A,"&gt;="&amp;A36,'1. Expenses'!$A:$A,"&lt;"&amp;EDATE(A36,1))+SUMIFS('2. API &amp; Infra Costs'!$F:$F,'2. API &amp; Infra Costs'!$A:$A,"&gt;="&amp;A36,'2. API &amp; Infra Costs'!$A:$A,"&lt;"&amp;EDATE(A36,1)))</f>
        <v/>
      </c>
      <c r="D36" s="8">
        <f>IF(A36="","",B36-C36)</f>
        <v/>
      </c>
      <c r="E36" s="7" t="n"/>
      <c r="F36" s="7" t="n"/>
      <c r="G36" s="7" t="n"/>
      <c r="H36" s="7">
        <f>IF(A36="","",E36+F36-G36)</f>
        <v/>
      </c>
      <c r="I36" s="10">
        <f>IF(A36="","",SUMIFS('4. Revenue'!$D:$D,'4. Revenue'!$A:$A,"&gt;="&amp;A36,'4. Revenue'!$A:$A,"&lt;"&amp;EDATE(A36,1),'4. Revenue'!$C:$C,"Monthly Subscription"))</f>
        <v/>
      </c>
      <c r="J36" s="7" t="n"/>
    </row>
    <row r="37">
      <c r="A37" s="9" t="n"/>
      <c r="B37" s="10">
        <f>IF(A37="","",SUMIFS('4. Revenue'!$D:$D,'4. Revenue'!$A:$A,"&gt;="&amp;A37,'4. Revenue'!$A:$A,"&lt;"&amp;EDATE(A37,1)))</f>
        <v/>
      </c>
      <c r="C37" s="10">
        <f>IF(A37="","",SUMIFS('1. Expenses'!$D:$D,'1. Expenses'!$A:$A,"&gt;="&amp;A37,'1. Expenses'!$A:$A,"&lt;"&amp;EDATE(A37,1))+SUMIFS('2. API &amp; Infra Costs'!$F:$F,'2. API &amp; Infra Costs'!$A:$A,"&gt;="&amp;A37,'2. API &amp; Infra Costs'!$A:$A,"&lt;"&amp;EDATE(A37,1)))</f>
        <v/>
      </c>
      <c r="D37" s="8">
        <f>IF(A37="","",B37-C37)</f>
        <v/>
      </c>
      <c r="E37" s="7" t="n"/>
      <c r="F37" s="7" t="n"/>
      <c r="G37" s="7" t="n"/>
      <c r="H37" s="7">
        <f>IF(A37="","",E37+F37-G37)</f>
        <v/>
      </c>
      <c r="I37" s="10">
        <f>IF(A37="","",SUMIFS('4. Revenue'!$D:$D,'4. Revenue'!$A:$A,"&gt;="&amp;A37,'4. Revenue'!$A:$A,"&lt;"&amp;EDATE(A37,1),'4. Revenue'!$C:$C,"Monthly Subscription"))</f>
        <v/>
      </c>
      <c r="J37" s="7" t="n"/>
    </row>
  </sheetData>
  <autoFilter ref="A1:J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2026-08-07T07:44:42Z</dcterms:created>
  <dcterms:modified xsi:type="dcterms:W3CDTF">2026-08-07T07:44:42Z</dcterms:modified>
</cp:coreProperties>
</file>